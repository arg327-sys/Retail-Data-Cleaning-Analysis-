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mc:AlternateContent xmlns:mc="http://schemas.openxmlformats.org/markup-compatibility/2006">
    <mc:Choice Requires="x15">
      <x15ac:absPath xmlns:x15ac="http://schemas.microsoft.com/office/spreadsheetml/2010/11/ac" url="C:\Users\annan\Downloads\"/>
    </mc:Choice>
  </mc:AlternateContent>
  <xr:revisionPtr revIDLastSave="0" documentId="8_{C19B34F0-0DFA-4C6F-90B8-769371CA84BA}" xr6:coauthVersionLast="47" xr6:coauthVersionMax="47" xr10:uidLastSave="{00000000-0000-0000-0000-000000000000}"/>
  <bookViews>
    <workbookView xWindow="-120" yWindow="-120" windowWidth="24240" windowHeight="13740" firstSheet="2" activeTab="6" xr2:uid="{00000000-000D-0000-FFFF-FFFF00000000}"/>
  </bookViews>
  <sheets>
    <sheet name="Goal &amp; Interpretations" sheetId="9" r:id="rId1"/>
    <sheet name="Before-Messy Dataset" sheetId="4" r:id="rId2"/>
    <sheet name="Cleaning Process Explained" sheetId="1" r:id="rId3"/>
    <sheet name="After-Clean Dataset" sheetId="3" r:id="rId4"/>
    <sheet name="Pivot Tables" sheetId="5" r:id="rId5"/>
    <sheet name="Charts Made from Pivot Tables" sheetId="8" r:id="rId6"/>
    <sheet name="Dashboard" sheetId="14" r:id="rId7"/>
  </sheets>
  <definedNames>
    <definedName name="Slicer_Category">#N/A</definedName>
    <definedName name="Slicer_order_date">#N/A</definedName>
    <definedName name="Slicer_Order_status">#N/A</definedName>
    <definedName name="Slicer_Payment_Method">#N/A</definedName>
    <definedName name="Slicer_Ship_State_2">#N/A</definedName>
  </definedNames>
  <calcPr calcId="191029"/>
  <pivotCaches>
    <pivotCache cacheId="1" r:id="rId8"/>
  </pivotCaches>
  <fileRecoveryPr repairLoad="1"/>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3" l="1"/>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2" i="3"/>
  <c r="G11" i="14"/>
  <c r="E11" i="14"/>
  <c r="C11" i="14"/>
  <c r="I11" i="14"/>
</calcChain>
</file>

<file path=xl/sharedStrings.xml><?xml version="1.0" encoding="utf-8"?>
<sst xmlns="http://schemas.openxmlformats.org/spreadsheetml/2006/main" count="17525" uniqueCount="782">
  <si>
    <t>Order ID</t>
  </si>
  <si>
    <t xml:space="preserve">order date </t>
  </si>
  <si>
    <t xml:space="preserve"> Customer Name</t>
  </si>
  <si>
    <t xml:space="preserve">customer_email </t>
  </si>
  <si>
    <t>Product Name</t>
  </si>
  <si>
    <t>Category</t>
  </si>
  <si>
    <t>Quantity</t>
  </si>
  <si>
    <t>Unit Price</t>
  </si>
  <si>
    <t>Total price</t>
  </si>
  <si>
    <t>PaymentMethod</t>
  </si>
  <si>
    <t>Ship State</t>
  </si>
  <si>
    <t>Order status</t>
  </si>
  <si>
    <t>Notes</t>
  </si>
  <si>
    <t>Mar 03 2023</t>
  </si>
  <si>
    <t>John Smith</t>
  </si>
  <si>
    <t>johnsmith@gmail.com</t>
  </si>
  <si>
    <t>t-shirt</t>
  </si>
  <si>
    <t>Apparel</t>
  </si>
  <si>
    <t>$15.99</t>
  </si>
  <si>
    <t>Debit</t>
  </si>
  <si>
    <t>nj</t>
  </si>
  <si>
    <t>Completed</t>
  </si>
  <si>
    <t>03/06/23</t>
  </si>
  <si>
    <t>Chris Lee</t>
  </si>
  <si>
    <t>chrislee@yahoo.com</t>
  </si>
  <si>
    <t>headphones</t>
  </si>
  <si>
    <t>Electronics</t>
  </si>
  <si>
    <t>Cash</t>
  </si>
  <si>
    <t>NJ</t>
  </si>
  <si>
    <t>Cancelled</t>
  </si>
  <si>
    <t>03/29/23</t>
  </si>
  <si>
    <t>Sneakers</t>
  </si>
  <si>
    <t>Footwear</t>
  </si>
  <si>
    <t>Credit Card</t>
  </si>
  <si>
    <t>PA</t>
  </si>
  <si>
    <t>Complete</t>
  </si>
  <si>
    <t>05/16/23</t>
  </si>
  <si>
    <t>Jane Doe</t>
  </si>
  <si>
    <t>janedoe@gmail.com</t>
  </si>
  <si>
    <t>Jeans</t>
  </si>
  <si>
    <t>Pending</t>
  </si>
  <si>
    <t>03/02/24</t>
  </si>
  <si>
    <t>Alex Kim</t>
  </si>
  <si>
    <t>alexkim@email.com</t>
  </si>
  <si>
    <t>T-Shirt</t>
  </si>
  <si>
    <t>CA</t>
  </si>
  <si>
    <t>completed</t>
  </si>
  <si>
    <t>Apr 28 2024</t>
  </si>
  <si>
    <t>alexkim@yahoo.com</t>
  </si>
  <si>
    <t>phone charger</t>
  </si>
  <si>
    <t>California</t>
  </si>
  <si>
    <t>Mar 15 2024</t>
  </si>
  <si>
    <t>Backpack</t>
  </si>
  <si>
    <t>Accessories</t>
  </si>
  <si>
    <t>Apple Pay</t>
  </si>
  <si>
    <t>NY</t>
  </si>
  <si>
    <t>$14.99</t>
  </si>
  <si>
    <t>credit</t>
  </si>
  <si>
    <t>04/06/24</t>
  </si>
  <si>
    <t>notebook</t>
  </si>
  <si>
    <t>Stationery</t>
  </si>
  <si>
    <t>$4.99</t>
  </si>
  <si>
    <t>CC</t>
  </si>
  <si>
    <t>check</t>
  </si>
  <si>
    <t>Oct 28 2023</t>
  </si>
  <si>
    <t>Mike Brown</t>
  </si>
  <si>
    <t>mikebrown@email.com</t>
  </si>
  <si>
    <t>sneakers</t>
  </si>
  <si>
    <t>New Jersey</t>
  </si>
  <si>
    <t>Jun 10 2023</t>
  </si>
  <si>
    <t>Emily Chen</t>
  </si>
  <si>
    <t>emilychen@gmail.com</t>
  </si>
  <si>
    <t>Coffee Maker</t>
  </si>
  <si>
    <t>Home</t>
  </si>
  <si>
    <t>07/03/23</t>
  </si>
  <si>
    <t>johnsmith@yahoo.com</t>
  </si>
  <si>
    <t>May 11 2024</t>
  </si>
  <si>
    <t>Sarah Johnson</t>
  </si>
  <si>
    <t>sarahjohnson@yahoo.com</t>
  </si>
  <si>
    <t>2023-03-09</t>
  </si>
  <si>
    <t>03/21/23</t>
  </si>
  <si>
    <t>chrislee@email.com</t>
  </si>
  <si>
    <t>Notebook</t>
  </si>
  <si>
    <t>04/22/24</t>
  </si>
  <si>
    <t>johnsmith@email.com</t>
  </si>
  <si>
    <t>Headphones</t>
  </si>
  <si>
    <t>$99.99</t>
  </si>
  <si>
    <t>2023-09-17</t>
  </si>
  <si>
    <t>emilychen@yahoo.com</t>
  </si>
  <si>
    <t>jeans</t>
  </si>
  <si>
    <t>Nov 02 2023</t>
  </si>
  <si>
    <t>sarahjohnson@gmail.com</t>
  </si>
  <si>
    <t>Phone Charger</t>
  </si>
  <si>
    <t>01/22/24</t>
  </si>
  <si>
    <t>2024-03-13</t>
  </si>
  <si>
    <t>blender</t>
  </si>
  <si>
    <t>12/04/23</t>
  </si>
  <si>
    <t>$59.99</t>
  </si>
  <si>
    <t>03/26/23</t>
  </si>
  <si>
    <t>johnsmithyahoo.com</t>
  </si>
  <si>
    <t>02/12/24</t>
  </si>
  <si>
    <t>mikebrownyahoo.com</t>
  </si>
  <si>
    <t>01/06/23</t>
  </si>
  <si>
    <t>sarahjohnsongmail.com</t>
  </si>
  <si>
    <t>01/03/23</t>
  </si>
  <si>
    <t>09/27/23</t>
  </si>
  <si>
    <t>alexkimemail.com</t>
  </si>
  <si>
    <t>coffee maker</t>
  </si>
  <si>
    <t>$49.99</t>
  </si>
  <si>
    <t>Feb 20 2024</t>
  </si>
  <si>
    <t>mikebrowngmail.com</t>
  </si>
  <si>
    <t>2023-12-12</t>
  </si>
  <si>
    <t>2024-02-29</t>
  </si>
  <si>
    <t>Feb 13 2023</t>
  </si>
  <si>
    <t>sarahjohnson@email.com</t>
  </si>
  <si>
    <t>Nov 10 2023</t>
  </si>
  <si>
    <t>alexkim@gmail.com</t>
  </si>
  <si>
    <t>$39.99</t>
  </si>
  <si>
    <t>03/15/23</t>
  </si>
  <si>
    <t>2024-05-07</t>
  </si>
  <si>
    <t>sarahjohnsonyahoo.com</t>
  </si>
  <si>
    <t>2024-01-14</t>
  </si>
  <si>
    <t>2023-11-23</t>
  </si>
  <si>
    <t>mikebrown@yahoo.com</t>
  </si>
  <si>
    <t>chrislee@gmail.com</t>
  </si>
  <si>
    <t>$79.99</t>
  </si>
  <si>
    <t>mikebrown@gmail.com</t>
  </si>
  <si>
    <t>Blender</t>
  </si>
  <si>
    <t>Jun 30 2023</t>
  </si>
  <si>
    <t>TX</t>
  </si>
  <si>
    <t>Aug 18 2023</t>
  </si>
  <si>
    <t>emilychen@email.com</t>
  </si>
  <si>
    <t>2024-05-02</t>
  </si>
  <si>
    <t>mikebrownemail.com</t>
  </si>
  <si>
    <t>10/26/23</t>
  </si>
  <si>
    <t>2023-02-09</t>
  </si>
  <si>
    <t>Jan 06 2023</t>
  </si>
  <si>
    <t>$29.99</t>
  </si>
  <si>
    <t>2023-05-20</t>
  </si>
  <si>
    <t>12/10/23</t>
  </si>
  <si>
    <t>02/24/23</t>
  </si>
  <si>
    <t>Jan 08 2024</t>
  </si>
  <si>
    <t>2023-06-05</t>
  </si>
  <si>
    <t>01/06/24</t>
  </si>
  <si>
    <t>emilychenyahoo.com</t>
  </si>
  <si>
    <t>2023-07-12</t>
  </si>
  <si>
    <t>07/13/23</t>
  </si>
  <si>
    <t>Jan 22 2023</t>
  </si>
  <si>
    <t>03/14/24</t>
  </si>
  <si>
    <t>2024-02-06</t>
  </si>
  <si>
    <t>Dec 20 2023</t>
  </si>
  <si>
    <t>09/01/23</t>
  </si>
  <si>
    <t>chrisleegmail.com</t>
  </si>
  <si>
    <t>02/17/23</t>
  </si>
  <si>
    <t>Dec 04 2023</t>
  </si>
  <si>
    <t>11/14/23</t>
  </si>
  <si>
    <t>Aug 25 2023</t>
  </si>
  <si>
    <t>2023-04-05</t>
  </si>
  <si>
    <t>09/11/23</t>
  </si>
  <si>
    <t>Dec 18 2023</t>
  </si>
  <si>
    <t>02/01/24</t>
  </si>
  <si>
    <t>06/15/23</t>
  </si>
  <si>
    <t>janedoe@yahoo.com</t>
  </si>
  <si>
    <t>10/06/23</t>
  </si>
  <si>
    <t>May 09 2024</t>
  </si>
  <si>
    <t>2024-01-27</t>
  </si>
  <si>
    <t>01/10/24</t>
  </si>
  <si>
    <t>2023-11-15</t>
  </si>
  <si>
    <t>Sep 18 2023</t>
  </si>
  <si>
    <t>janedoe@email.com</t>
  </si>
  <si>
    <t>May 09 2023</t>
  </si>
  <si>
    <t>08/02/23</t>
  </si>
  <si>
    <t>2023-10-21</t>
  </si>
  <si>
    <t>2023-01-31</t>
  </si>
  <si>
    <t>2024-02-23</t>
  </si>
  <si>
    <t>Jan 18 2024</t>
  </si>
  <si>
    <t>May 04 2023</t>
  </si>
  <si>
    <t>2023-08-02</t>
  </si>
  <si>
    <t>2024-01-20</t>
  </si>
  <si>
    <t>04/27/23</t>
  </si>
  <si>
    <t>Jul 31 2023</t>
  </si>
  <si>
    <t>2023-11-13</t>
  </si>
  <si>
    <t>2024-04-16</t>
  </si>
  <si>
    <t>2024-03-16</t>
  </si>
  <si>
    <t>2024-03-08</t>
  </si>
  <si>
    <t>02/05/23</t>
  </si>
  <si>
    <t>Apr 07 2024</t>
  </si>
  <si>
    <t>06/30/23</t>
  </si>
  <si>
    <t>Oct 24 2023</t>
  </si>
  <si>
    <t>2024-04-03</t>
  </si>
  <si>
    <t>2023-10-12</t>
  </si>
  <si>
    <t>02/01/23</t>
  </si>
  <si>
    <t>2023-04-13</t>
  </si>
  <si>
    <t>Jan 15 2023</t>
  </si>
  <si>
    <t>02/07/23</t>
  </si>
  <si>
    <t>02/05/24</t>
  </si>
  <si>
    <t>Jun 25 2023</t>
  </si>
  <si>
    <t>04/24/24</t>
  </si>
  <si>
    <t>2023-10-10</t>
  </si>
  <si>
    <t>01/13/23</t>
  </si>
  <si>
    <t>Feb 05 2024</t>
  </si>
  <si>
    <t>2023-05-13</t>
  </si>
  <si>
    <t>2023-03-13</t>
  </si>
  <si>
    <t>Feb 13 2024</t>
  </si>
  <si>
    <t>04/02/24</t>
  </si>
  <si>
    <t>01/25/23</t>
  </si>
  <si>
    <t>Apr 06 2024</t>
  </si>
  <si>
    <t>04/13/23</t>
  </si>
  <si>
    <t>2024-05-13</t>
  </si>
  <si>
    <t>2023-04-09</t>
  </si>
  <si>
    <t>Sep 03 2023</t>
  </si>
  <si>
    <t>2023-09-20</t>
  </si>
  <si>
    <t>backpack</t>
  </si>
  <si>
    <t>2024-02-02</t>
  </si>
  <si>
    <t>Jan 19 2023</t>
  </si>
  <si>
    <t>Dec 23 2023</t>
  </si>
  <si>
    <t>2023-12-19</t>
  </si>
  <si>
    <t>2023-02-12</t>
  </si>
  <si>
    <t>01/05/23</t>
  </si>
  <si>
    <t>Mar 14 2024</t>
  </si>
  <si>
    <t>2023-01-02</t>
  </si>
  <si>
    <t>04/13/24</t>
  </si>
  <si>
    <t>10/11/23</t>
  </si>
  <si>
    <t>2024-01-11</t>
  </si>
  <si>
    <t>Mar 21 2024</t>
  </si>
  <si>
    <t>10/09/23</t>
  </si>
  <si>
    <t>2024-01-24</t>
  </si>
  <si>
    <t>2023-01-22</t>
  </si>
  <si>
    <t>Feb 08 2023</t>
  </si>
  <si>
    <t>01/09/24</t>
  </si>
  <si>
    <t>2023-02-16</t>
  </si>
  <si>
    <t>Dec 09 2023</t>
  </si>
  <si>
    <t>Apr 02 2023</t>
  </si>
  <si>
    <t>03/28/23</t>
  </si>
  <si>
    <t>09/14/23</t>
  </si>
  <si>
    <t>2023-04-06</t>
  </si>
  <si>
    <t>2024-01-29</t>
  </si>
  <si>
    <t>2024-02-26</t>
  </si>
  <si>
    <t>Dec 14 2023</t>
  </si>
  <si>
    <t>alexkimgmail.com</t>
  </si>
  <si>
    <t>Sep 04 2023</t>
  </si>
  <si>
    <t>Feb 22 2024</t>
  </si>
  <si>
    <t>2024-03-21</t>
  </si>
  <si>
    <t>11/23/23</t>
  </si>
  <si>
    <t>01/10/23</t>
  </si>
  <si>
    <t>03/19/23</t>
  </si>
  <si>
    <t>2023-11-04</t>
  </si>
  <si>
    <t>Feb 08 2024</t>
  </si>
  <si>
    <t>2023-06-23</t>
  </si>
  <si>
    <t>Jul 01 2023</t>
  </si>
  <si>
    <t>Apr 16 2024</t>
  </si>
  <si>
    <t>Mar 31 2023</t>
  </si>
  <si>
    <t>Mar 11 2023</t>
  </si>
  <si>
    <t>12/24/23</t>
  </si>
  <si>
    <t>Apr 04 2024</t>
  </si>
  <si>
    <t>2023-11-25</t>
  </si>
  <si>
    <t>2023-07-09</t>
  </si>
  <si>
    <t>May 23 2023</t>
  </si>
  <si>
    <t>07/01/23</t>
  </si>
  <si>
    <t>2023-05-15</t>
  </si>
  <si>
    <t>2023-01-19</t>
  </si>
  <si>
    <t>Jan 31 2023</t>
  </si>
  <si>
    <t>11/16/23</t>
  </si>
  <si>
    <t>Mar 29 2023</t>
  </si>
  <si>
    <t>2024-04-10</t>
  </si>
  <si>
    <t>emilychengmail.com</t>
  </si>
  <si>
    <t>02/04/23</t>
  </si>
  <si>
    <t>04/28/23</t>
  </si>
  <si>
    <t>Aug 21 2023</t>
  </si>
  <si>
    <t>2023-10-24</t>
  </si>
  <si>
    <t>Apr 02 2024</t>
  </si>
  <si>
    <t>2023-10-19</t>
  </si>
  <si>
    <t>2023-06-18</t>
  </si>
  <si>
    <t>Oct 16 2023</t>
  </si>
  <si>
    <t>2024-03-29</t>
  </si>
  <si>
    <t>May 03 2023</t>
  </si>
  <si>
    <t>2023-10-13</t>
  </si>
  <si>
    <t>05/17/23</t>
  </si>
  <si>
    <t>03/04/24</t>
  </si>
  <si>
    <t>Aug 29 2023</t>
  </si>
  <si>
    <t>Jan 18 2023</t>
  </si>
  <si>
    <t>Nov 08 2023</t>
  </si>
  <si>
    <t>04/15/24</t>
  </si>
  <si>
    <t>06/20/23</t>
  </si>
  <si>
    <t>Jul 12 2023</t>
  </si>
  <si>
    <t>janedoegmail.com</t>
  </si>
  <si>
    <t>2024-03-17</t>
  </si>
  <si>
    <t>08/27/23</t>
  </si>
  <si>
    <t>2023-02-15</t>
  </si>
  <si>
    <t>2023-08-14</t>
  </si>
  <si>
    <t>2023-06-10</t>
  </si>
  <si>
    <t>11/12/23</t>
  </si>
  <si>
    <t>11/09/23</t>
  </si>
  <si>
    <t>11/07/23</t>
  </si>
  <si>
    <t>2023-05-31</t>
  </si>
  <si>
    <t>2023-07-04</t>
  </si>
  <si>
    <t>Oct 08 2023</t>
  </si>
  <si>
    <t>06/02/23</t>
  </si>
  <si>
    <t>2023-02-03</t>
  </si>
  <si>
    <t>2023-04-17</t>
  </si>
  <si>
    <t>2023-11-18</t>
  </si>
  <si>
    <t>sarahjohnsonemail.com</t>
  </si>
  <si>
    <t>Jan 29 2024</t>
  </si>
  <si>
    <t>04/11/24</t>
  </si>
  <si>
    <t>10/31/23</t>
  </si>
  <si>
    <t>01/02/23</t>
  </si>
  <si>
    <t>emilychenemail.com</t>
  </si>
  <si>
    <t>Mar 16 2023</t>
  </si>
  <si>
    <t>Mar 12 2024</t>
  </si>
  <si>
    <t>janedoeemail.com</t>
  </si>
  <si>
    <t>Nov 30 2023</t>
  </si>
  <si>
    <t>Nov 22 2023</t>
  </si>
  <si>
    <t>08/10/23</t>
  </si>
  <si>
    <t>05/29/23</t>
  </si>
  <si>
    <t>May 14 2024</t>
  </si>
  <si>
    <t>Feb 15 2023</t>
  </si>
  <si>
    <t>2023-05-25</t>
  </si>
  <si>
    <t>Apr 27 2023</t>
  </si>
  <si>
    <t>05/13/24</t>
  </si>
  <si>
    <t>Dec 17 2023</t>
  </si>
  <si>
    <t>2023-05-14</t>
  </si>
  <si>
    <t>2023-09-27</t>
  </si>
  <si>
    <t>johnsmithemail.com</t>
  </si>
  <si>
    <t>Jun 28 2023</t>
  </si>
  <si>
    <t>Oct 27 2023</t>
  </si>
  <si>
    <t>Mar 31 2024</t>
  </si>
  <si>
    <t>2023-06-01</t>
  </si>
  <si>
    <t>2023-05-05</t>
  </si>
  <si>
    <t>2023-03-11</t>
  </si>
  <si>
    <t>2024-04-04</t>
  </si>
  <si>
    <t>2023-04-29</t>
  </si>
  <si>
    <t>05/14/24</t>
  </si>
  <si>
    <t>2023-09-09</t>
  </si>
  <si>
    <t>2023-09-25</t>
  </si>
  <si>
    <t>2023-05-28</t>
  </si>
  <si>
    <t>10/22/23</t>
  </si>
  <si>
    <t>Feb 18 2023</t>
  </si>
  <si>
    <t>12/20/23</t>
  </si>
  <si>
    <t>2024-02-28</t>
  </si>
  <si>
    <t>08/29/23</t>
  </si>
  <si>
    <t>Aug 04 2023</t>
  </si>
  <si>
    <t>05/08/24</t>
  </si>
  <si>
    <t>2023-12-21</t>
  </si>
  <si>
    <t>12/06/23</t>
  </si>
  <si>
    <t>johnsmithgmail.com</t>
  </si>
  <si>
    <t>06/07/23</t>
  </si>
  <si>
    <t>09/06/23</t>
  </si>
  <si>
    <t>Oct 09 2023</t>
  </si>
  <si>
    <t>Apr 21 2023</t>
  </si>
  <si>
    <t>2024-04-27</t>
  </si>
  <si>
    <t>01/31/23</t>
  </si>
  <si>
    <t>2023-04-18</t>
  </si>
  <si>
    <t>2023-12-16</t>
  </si>
  <si>
    <t>09/28/23</t>
  </si>
  <si>
    <t>12/05/23</t>
  </si>
  <si>
    <t>Jul 28 2023</t>
  </si>
  <si>
    <t>02/27/24</t>
  </si>
  <si>
    <t>2023-01-20</t>
  </si>
  <si>
    <t>12/17/23</t>
  </si>
  <si>
    <t>Sep 26 2023</t>
  </si>
  <si>
    <t>Aug 12 2023</t>
  </si>
  <si>
    <t>2024-02-27</t>
  </si>
  <si>
    <t>04/16/23</t>
  </si>
  <si>
    <t>2024-04-22</t>
  </si>
  <si>
    <t>03/20/24</t>
  </si>
  <si>
    <t>2023-01-25</t>
  </si>
  <si>
    <t>2023-08-11</t>
  </si>
  <si>
    <t>Apr 25 2024</t>
  </si>
  <si>
    <t>2024-03-12</t>
  </si>
  <si>
    <t>06/24/23</t>
  </si>
  <si>
    <t>May 08 2024</t>
  </si>
  <si>
    <t>Jun 29 2023</t>
  </si>
  <si>
    <t>03/16/24</t>
  </si>
  <si>
    <t>11/30/23</t>
  </si>
  <si>
    <t>2023-09-01</t>
  </si>
  <si>
    <t>05/06/24</t>
  </si>
  <si>
    <t>04/20/23</t>
  </si>
  <si>
    <t>10/12/23</t>
  </si>
  <si>
    <t>Jan 31 2024</t>
  </si>
  <si>
    <t>Feb 05 2023</t>
  </si>
  <si>
    <t>2023-02-22</t>
  </si>
  <si>
    <t>2023-04-16</t>
  </si>
  <si>
    <t>08/01/23</t>
  </si>
  <si>
    <t>09/18/23</t>
  </si>
  <si>
    <t>Dec 13 2023</t>
  </si>
  <si>
    <t>Apr 13 2023</t>
  </si>
  <si>
    <t>Feb 20 2023</t>
  </si>
  <si>
    <t>05/05/23</t>
  </si>
  <si>
    <t>06/03/23</t>
  </si>
  <si>
    <t>2023-11-28</t>
  </si>
  <si>
    <t>03/07/24</t>
  </si>
  <si>
    <t>2023-03-03</t>
  </si>
  <si>
    <t>2023-11-24</t>
  </si>
  <si>
    <t>Feb 12 2024</t>
  </si>
  <si>
    <t>12/21/23</t>
  </si>
  <si>
    <t>05/21/23</t>
  </si>
  <si>
    <t>10/05/23</t>
  </si>
  <si>
    <t>Dec 19 2023</t>
  </si>
  <si>
    <t>01/11/23</t>
  </si>
  <si>
    <t>2023-12-03</t>
  </si>
  <si>
    <t>2023-05-07</t>
  </si>
  <si>
    <t>alexkimyahoo.com</t>
  </si>
  <si>
    <t>2023-08-04</t>
  </si>
  <si>
    <t>Nov 29 2023</t>
  </si>
  <si>
    <t>04/19/23</t>
  </si>
  <si>
    <t>Mar 23 2024</t>
  </si>
  <si>
    <t>2023-07-15</t>
  </si>
  <si>
    <t>Mar 30 2024</t>
  </si>
  <si>
    <t>12/07/23</t>
  </si>
  <si>
    <t>2023-05-17</t>
  </si>
  <si>
    <t>Jul 09 2023</t>
  </si>
  <si>
    <t>Mar 18 2024</t>
  </si>
  <si>
    <t>Mar 12 2023</t>
  </si>
  <si>
    <t>May 10 2023</t>
  </si>
  <si>
    <t>2024-05-10</t>
  </si>
  <si>
    <t>Oct 04 2023</t>
  </si>
  <si>
    <t>Nov 03 2023</t>
  </si>
  <si>
    <t>2023-09-05</t>
  </si>
  <si>
    <t>12/01/23</t>
  </si>
  <si>
    <t>Feb 06 2024</t>
  </si>
  <si>
    <t>2023-01-26</t>
  </si>
  <si>
    <t>2024-03-28</t>
  </si>
  <si>
    <t>Aug 09 2023</t>
  </si>
  <si>
    <t>2023-08-24</t>
  </si>
  <si>
    <t>2023-09-11</t>
  </si>
  <si>
    <t>2024-03-18</t>
  </si>
  <si>
    <t>Feb 16 2023</t>
  </si>
  <si>
    <t>Feb 19 2024</t>
  </si>
  <si>
    <t>janedoeyahoo.com</t>
  </si>
  <si>
    <t>2023-10-04</t>
  </si>
  <si>
    <t>02/15/24</t>
  </si>
  <si>
    <t>05/02/23</t>
  </si>
  <si>
    <t>2023-08-23</t>
  </si>
  <si>
    <t>04/16/24</t>
  </si>
  <si>
    <t>Aug 13 2023</t>
  </si>
  <si>
    <t>2024-01-12</t>
  </si>
  <si>
    <t>07/20/23</t>
  </si>
  <si>
    <t>04/01/24</t>
  </si>
  <si>
    <t>Mar 19 2023</t>
  </si>
  <si>
    <t>07/29/23</t>
  </si>
  <si>
    <t>02/25/24</t>
  </si>
  <si>
    <t>2023-12-02</t>
  </si>
  <si>
    <t>01/03/24</t>
  </si>
  <si>
    <t>Jul 27 2023</t>
  </si>
  <si>
    <t>2023-11-06</t>
  </si>
  <si>
    <t>2023-08-30</t>
  </si>
  <si>
    <t>Nov 01 2023</t>
  </si>
  <si>
    <t>Mar 13 2023</t>
  </si>
  <si>
    <t>12/31/23</t>
  </si>
  <si>
    <t>2023-10-27</t>
  </si>
  <si>
    <t>Oct 07 2023</t>
  </si>
  <si>
    <t>Jul 13 2023</t>
  </si>
  <si>
    <t>2023-09-24</t>
  </si>
  <si>
    <t>Nov 13 2023</t>
  </si>
  <si>
    <t>Jan 01 2023</t>
  </si>
  <si>
    <t>Feb 10 2024</t>
  </si>
  <si>
    <t>Jun 26 2023</t>
  </si>
  <si>
    <t>2023-06-30</t>
  </si>
  <si>
    <t>2023-11-11</t>
  </si>
  <si>
    <t>07/02/23</t>
  </si>
  <si>
    <t>2023-11-10</t>
  </si>
  <si>
    <t>2024-01-13</t>
  </si>
  <si>
    <t>2023-11-08</t>
  </si>
  <si>
    <t>05/20/23</t>
  </si>
  <si>
    <t>2024-03-26</t>
  </si>
  <si>
    <t>09/23/23</t>
  </si>
  <si>
    <t>Apr 11 2024</t>
  </si>
  <si>
    <t>09/29/23</t>
  </si>
  <si>
    <t>Oct 19 2023</t>
  </si>
  <si>
    <t>11/02/23</t>
  </si>
  <si>
    <t>2023-03-24</t>
  </si>
  <si>
    <t>Mar 21 2023</t>
  </si>
  <si>
    <t>2023-11-29</t>
  </si>
  <si>
    <t>01/21/24</t>
  </si>
  <si>
    <t>02/15/23</t>
  </si>
  <si>
    <t>Nov 14 2023</t>
  </si>
  <si>
    <t>09/08/23</t>
  </si>
  <si>
    <t>2024-04-15</t>
  </si>
  <si>
    <t>Oct 05 2023</t>
  </si>
  <si>
    <t>2023-07-19</t>
  </si>
  <si>
    <t>2023-07-20</t>
  </si>
  <si>
    <t>Jun 06 2023</t>
  </si>
  <si>
    <t>Sep 28 2023</t>
  </si>
  <si>
    <t>Sep 07 2023</t>
  </si>
  <si>
    <t>Jan 11 2024</t>
  </si>
  <si>
    <t>Jul 19 2023</t>
  </si>
  <si>
    <t>Jun 07 2023</t>
  </si>
  <si>
    <t>Apr 09 2023</t>
  </si>
  <si>
    <t>2023-07-18</t>
  </si>
  <si>
    <t>03/19/24</t>
  </si>
  <si>
    <t>Mar 03 2024</t>
  </si>
  <si>
    <t>chrisleeemail.com</t>
  </si>
  <si>
    <t>Mar 16 2024</t>
  </si>
  <si>
    <t>Feb 28 2024</t>
  </si>
  <si>
    <t>2023-04-21</t>
  </si>
  <si>
    <t>Jan 12 2023</t>
  </si>
  <si>
    <t>2023-07-08</t>
  </si>
  <si>
    <t>2023-05-30</t>
  </si>
  <si>
    <t>12/25/23</t>
  </si>
  <si>
    <t>2024-04-13</t>
  </si>
  <si>
    <t>Jan 06 2024</t>
  </si>
  <si>
    <t>Apr 27 2024</t>
  </si>
  <si>
    <t>09/24/23</t>
  </si>
  <si>
    <t>2024-02-22</t>
  </si>
  <si>
    <t>May 20 2023</t>
  </si>
  <si>
    <t>chrisleeyahoo.com</t>
  </si>
  <si>
    <t>2023-06-14</t>
  </si>
  <si>
    <t>02/04/24</t>
  </si>
  <si>
    <t>Oct 23 2023</t>
  </si>
  <si>
    <t>2023-07-07</t>
  </si>
  <si>
    <t>Feb 27 2024</t>
  </si>
  <si>
    <t>2023-09-19</t>
  </si>
  <si>
    <t>2024-02-08</t>
  </si>
  <si>
    <t>05/23/23</t>
  </si>
  <si>
    <t>01/12/23</t>
  </si>
  <si>
    <t>2023-03-21</t>
  </si>
  <si>
    <t>04/21/24</t>
  </si>
  <si>
    <t>2023-08-27</t>
  </si>
  <si>
    <t>Jan 21 2023</t>
  </si>
  <si>
    <t>09/17/23</t>
  </si>
  <si>
    <t>Aug 03 2023</t>
  </si>
  <si>
    <t>Mar 14 2023</t>
  </si>
  <si>
    <t>03/14/23</t>
  </si>
  <si>
    <t>05/04/24</t>
  </si>
  <si>
    <t>11/24/23</t>
  </si>
  <si>
    <t>10/21/23</t>
  </si>
  <si>
    <t>09/26/23</t>
  </si>
  <si>
    <t>Apr 15 2024</t>
  </si>
  <si>
    <t>10/04/23</t>
  </si>
  <si>
    <t>08/26/23</t>
  </si>
  <si>
    <t>2023-06-20</t>
  </si>
  <si>
    <t>2023-01-21</t>
  </si>
  <si>
    <t>07/10/23</t>
  </si>
  <si>
    <t>2023-06-17</t>
  </si>
  <si>
    <t>Nov 15 2023</t>
  </si>
  <si>
    <t>05/24/23</t>
  </si>
  <si>
    <t>Jan 03 2024</t>
  </si>
  <si>
    <t>Jul 26 2023</t>
  </si>
  <si>
    <t>01/01/23</t>
  </si>
  <si>
    <t>2023-11-07</t>
  </si>
  <si>
    <t>2023-04-23</t>
  </si>
  <si>
    <t>05/14/23</t>
  </si>
  <si>
    <t>2024-03-24</t>
  </si>
  <si>
    <t>08/05/23</t>
  </si>
  <si>
    <t>Aug 27 2023</t>
  </si>
  <si>
    <t>01/26/23</t>
  </si>
  <si>
    <t>03/23/24</t>
  </si>
  <si>
    <t>07/31/23</t>
  </si>
  <si>
    <t>Aug 14 2023</t>
  </si>
  <si>
    <t>08/30/23</t>
  </si>
  <si>
    <t>Dec 31 2023</t>
  </si>
  <si>
    <t>10/16/23</t>
  </si>
  <si>
    <t>08/21/23</t>
  </si>
  <si>
    <t>12/09/23</t>
  </si>
  <si>
    <t>04/23/23</t>
  </si>
  <si>
    <t>2023-02-11</t>
  </si>
  <si>
    <t>2024-03-14</t>
  </si>
  <si>
    <t>Dec 16 2023</t>
  </si>
  <si>
    <t>01/29/23</t>
  </si>
  <si>
    <t>12/15/23</t>
  </si>
  <si>
    <t>01/09/23</t>
  </si>
  <si>
    <t>May 27 2023</t>
  </si>
  <si>
    <t>2023-05-23</t>
  </si>
  <si>
    <t>Dec 26 2023</t>
  </si>
  <si>
    <t>2023-04-03</t>
  </si>
  <si>
    <t>Mar 02 2024</t>
  </si>
  <si>
    <t>2024-04-08</t>
  </si>
  <si>
    <t>05/05/24</t>
  </si>
  <si>
    <t>2023-05-19</t>
  </si>
  <si>
    <t>Feb 18 2024</t>
  </si>
  <si>
    <t>03/27/24</t>
  </si>
  <si>
    <t>Jan 04 2023</t>
  </si>
  <si>
    <t>05/19/23</t>
  </si>
  <si>
    <t>Nov 19 2023</t>
  </si>
  <si>
    <t>10/02/23</t>
  </si>
  <si>
    <t>2023-07-22</t>
  </si>
  <si>
    <t>Apr 14 2024</t>
  </si>
  <si>
    <t>2023-07-31</t>
  </si>
  <si>
    <t>2024-02-14</t>
  </si>
  <si>
    <t>2023-07-10</t>
  </si>
  <si>
    <t>2023-10-31</t>
  </si>
  <si>
    <t>05/09/23</t>
  </si>
  <si>
    <t>08/13/23</t>
  </si>
  <si>
    <t>Mar 25 2023</t>
  </si>
  <si>
    <t>May 11 2023</t>
  </si>
  <si>
    <t>Apr 18 2024</t>
  </si>
  <si>
    <t>01/29/24</t>
  </si>
  <si>
    <t>2023-10-16</t>
  </si>
  <si>
    <t>Jan 10 2024</t>
  </si>
  <si>
    <t>2023-08-22</t>
  </si>
  <si>
    <t>2023-09-08</t>
  </si>
  <si>
    <t>May 28 2023</t>
  </si>
  <si>
    <t>01/12/24</t>
  </si>
  <si>
    <t>Feb 22 2023</t>
  </si>
  <si>
    <t>Apr 30 2023</t>
  </si>
  <si>
    <t>02/22/24</t>
  </si>
  <si>
    <t>01/19/23</t>
  </si>
  <si>
    <t>Feb 09 2024</t>
  </si>
  <si>
    <t>2023-11-22</t>
  </si>
  <si>
    <t>Oct 20 2023</t>
  </si>
  <si>
    <t>2024-01-25</t>
  </si>
  <si>
    <t>05/30/23</t>
  </si>
  <si>
    <t>2023-08-26</t>
  </si>
  <si>
    <t>Jan 25 2024</t>
  </si>
  <si>
    <t>04/04/23</t>
  </si>
  <si>
    <t>Jan 09 2024</t>
  </si>
  <si>
    <t>2023-12-06</t>
  </si>
  <si>
    <t>2023-04-08</t>
  </si>
  <si>
    <t>12/14/23</t>
  </si>
  <si>
    <t>Jul 29 2023</t>
  </si>
  <si>
    <t>Sep 01 2023</t>
  </si>
  <si>
    <t>02/08/24</t>
  </si>
  <si>
    <t>2023-03-07</t>
  </si>
  <si>
    <t>May 02 2024</t>
  </si>
  <si>
    <t>03/11/24</t>
  </si>
  <si>
    <t>Aug 19 2023</t>
  </si>
  <si>
    <t>10/23/23</t>
  </si>
  <si>
    <t>May 17 2023</t>
  </si>
  <si>
    <t>05/07/23</t>
  </si>
  <si>
    <t>Mar 30 2023</t>
  </si>
  <si>
    <t>Jun 19 2023</t>
  </si>
  <si>
    <t>Apr 20 2024</t>
  </si>
  <si>
    <t>01/17/23</t>
  </si>
  <si>
    <t>2023-02-10</t>
  </si>
  <si>
    <t>Mar 24 2023</t>
  </si>
  <si>
    <t>Feb 21 2024</t>
  </si>
  <si>
    <t>2024-03-02</t>
  </si>
  <si>
    <t>2023-10-07</t>
  </si>
  <si>
    <t>2023-02-27</t>
  </si>
  <si>
    <t>2023-12-17</t>
  </si>
  <si>
    <t>2023-04-20</t>
  </si>
  <si>
    <t>2024-04-14</t>
  </si>
  <si>
    <t>Aug 26 2023</t>
  </si>
  <si>
    <t>04/26/24</t>
  </si>
  <si>
    <t>Mar 10 2024</t>
  </si>
  <si>
    <t>02/27/23</t>
  </si>
  <si>
    <t>11/15/23</t>
  </si>
  <si>
    <t>2024-04-12</t>
  </si>
  <si>
    <t>12/23/23</t>
  </si>
  <si>
    <t>Dec 02 2023</t>
  </si>
  <si>
    <t>Nov 04 2023</t>
  </si>
  <si>
    <t>01/01/24</t>
  </si>
  <si>
    <t>2024-05-08</t>
  </si>
  <si>
    <t>Mar 20 2023</t>
  </si>
  <si>
    <t>02/03/23</t>
  </si>
  <si>
    <t>Nov 16 2023</t>
  </si>
  <si>
    <t>06/14/23</t>
  </si>
  <si>
    <t>2023-06-28</t>
  </si>
  <si>
    <t>09/03/23</t>
  </si>
  <si>
    <t>10/07/23</t>
  </si>
  <si>
    <t>Mar 23 2023</t>
  </si>
  <si>
    <t>03/24/23</t>
  </si>
  <si>
    <t>2023-07-24</t>
  </si>
  <si>
    <t>07/22/23</t>
  </si>
  <si>
    <t>2023-08-05</t>
  </si>
  <si>
    <t>06/16/23</t>
  </si>
  <si>
    <t>Sep 20 2023</t>
  </si>
  <si>
    <t>02/16/24</t>
  </si>
  <si>
    <t>2024-02-18</t>
  </si>
  <si>
    <t>Oct 13 2023</t>
  </si>
  <si>
    <t>Nov 06 2023</t>
  </si>
  <si>
    <t>08/07/23</t>
  </si>
  <si>
    <t>2023-03-16</t>
  </si>
  <si>
    <t>Jan 07 2024</t>
  </si>
  <si>
    <t>10/25/23</t>
  </si>
  <si>
    <t>2023-01-27</t>
  </si>
  <si>
    <t>Apr 05 2023</t>
  </si>
  <si>
    <t>Feb 03 2024</t>
  </si>
  <si>
    <t>06/18/23</t>
  </si>
  <si>
    <t>2023-04-01</t>
  </si>
  <si>
    <t>Jul 15 2023</t>
  </si>
  <si>
    <t>2024-02-19</t>
  </si>
  <si>
    <t>2023-01-03</t>
  </si>
  <si>
    <t>2023-01-05</t>
  </si>
  <si>
    <t>Apr 06 2023</t>
  </si>
  <si>
    <t>02/19/24</t>
  </si>
  <si>
    <t>2023-05-29</t>
  </si>
  <si>
    <t>02/13/23</t>
  </si>
  <si>
    <t>2023-12-28</t>
  </si>
  <si>
    <t>12/27/23</t>
  </si>
  <si>
    <t>2023-02-06</t>
  </si>
  <si>
    <t>2023-02-05</t>
  </si>
  <si>
    <t>2024-03-09</t>
  </si>
  <si>
    <t>2023-06-15</t>
  </si>
  <si>
    <t>Nov 18 2023</t>
  </si>
  <si>
    <t>2023-07-28</t>
  </si>
  <si>
    <t>2023-10-15</t>
  </si>
  <si>
    <t>2024-02-03</t>
  </si>
  <si>
    <t>Mar 15 2023</t>
  </si>
  <si>
    <t>2023-09-07</t>
  </si>
  <si>
    <t>Feb 02 2023</t>
  </si>
  <si>
    <t>02/12/23</t>
  </si>
  <si>
    <t>08/15/23</t>
  </si>
  <si>
    <t>01/19/24</t>
  </si>
  <si>
    <t>12/16/23</t>
  </si>
  <si>
    <t>Apr 24 2023</t>
  </si>
  <si>
    <t>2023-08-20</t>
  </si>
  <si>
    <t>N/A</t>
  </si>
  <si>
    <t>Payment Method</t>
  </si>
  <si>
    <t>used series to fill in missing ID #</t>
  </si>
  <si>
    <t>Used Proper() to fix capitalizations</t>
  </si>
  <si>
    <t>Replaced CC with Credit Card (ctrl f)</t>
  </si>
  <si>
    <t>Replaced Credit Card Card with Credit Card (ctrl f)</t>
  </si>
  <si>
    <t>General formatting:</t>
  </si>
  <si>
    <t>Made auto width + hight for easy visability</t>
  </si>
  <si>
    <t>Added borders for all cells</t>
  </si>
  <si>
    <t>Bolded column names</t>
  </si>
  <si>
    <t xml:space="preserve">Gave N/A values to all missing values </t>
  </si>
  <si>
    <t>Forematted column using short-date format</t>
  </si>
  <si>
    <t>Converted entire column from text to column</t>
  </si>
  <si>
    <t>Selected delimited</t>
  </si>
  <si>
    <t>Unseleted limiting factors</t>
  </si>
  <si>
    <t>Selected date format</t>
  </si>
  <si>
    <t xml:space="preserve">Did nothing </t>
  </si>
  <si>
    <t>(N/A values were given through general forematting)</t>
  </si>
  <si>
    <t>Used proper() to organize everything</t>
  </si>
  <si>
    <t xml:space="preserve">Used ctrl f to replace full state names with abbreviations </t>
  </si>
  <si>
    <t>Used upper() to organize</t>
  </si>
  <si>
    <t>Used proper to organize everything</t>
  </si>
  <si>
    <t>Used ctrl f to replace "Completed" with Complete</t>
  </si>
  <si>
    <t>Used unique to check for reppetivite values</t>
  </si>
  <si>
    <t>Used abs() to turn negative values into positive</t>
  </si>
  <si>
    <t>Used ctrl f to remove random $</t>
  </si>
  <si>
    <t>Used if() so if quantity was missing N/A would be displayed, otherwise total price is displayed by multiplying quantity and unit price</t>
  </si>
  <si>
    <t xml:space="preserve">Used unique() to check for reppetive values </t>
  </si>
  <si>
    <t xml:space="preserve">Used proper to fix capitalization </t>
  </si>
  <si>
    <t xml:space="preserve">Used unique to look for reppetitive values </t>
  </si>
  <si>
    <t>No changes made</t>
  </si>
  <si>
    <t>Made table of Product Name, category, and unit price - used Vlookup to comfirm all product names are catagorized and priced properly</t>
  </si>
  <si>
    <t>No Changes made</t>
  </si>
  <si>
    <t>Listed different email types (email, gmail, and yahoo)</t>
  </si>
  <si>
    <t>Used ctrl f to replace @email provider with email provider</t>
  </si>
  <si>
    <t>Used ctrl f to replace email provider with @email provider</t>
  </si>
  <si>
    <t>Did above steps for each email provider to add missing @ signs in column</t>
  </si>
  <si>
    <t>At the end turned clean data set into a table</t>
  </si>
  <si>
    <t>Grand Total</t>
  </si>
  <si>
    <t>Revenue by Category for each State</t>
  </si>
  <si>
    <t xml:space="preserve">Product </t>
  </si>
  <si>
    <t>January 2023</t>
  </si>
  <si>
    <t>Febuary 2023</t>
  </si>
  <si>
    <t>March 2023</t>
  </si>
  <si>
    <t>April 2023</t>
  </si>
  <si>
    <t>May 2023</t>
  </si>
  <si>
    <t>August 2023</t>
  </si>
  <si>
    <t>June 2023</t>
  </si>
  <si>
    <t>July 2023</t>
  </si>
  <si>
    <t>September 2023</t>
  </si>
  <si>
    <t>October 2023</t>
  </si>
  <si>
    <t>November 2023</t>
  </si>
  <si>
    <t>December 2023</t>
  </si>
  <si>
    <t>January 2024</t>
  </si>
  <si>
    <t>Febuary 2024</t>
  </si>
  <si>
    <t>March 2024</t>
  </si>
  <si>
    <t>April 2024</t>
  </si>
  <si>
    <t>May 2024</t>
  </si>
  <si>
    <t>Date</t>
  </si>
  <si>
    <t>Revenue by Date:</t>
  </si>
  <si>
    <t>Total Revenue</t>
  </si>
  <si>
    <t>Order Status</t>
  </si>
  <si>
    <t>Year 2023</t>
  </si>
  <si>
    <t>Year 2024</t>
  </si>
  <si>
    <t xml:space="preserve">Revenue </t>
  </si>
  <si>
    <t>Interpretations:</t>
  </si>
  <si>
    <t xml:space="preserve">Goal:                                         </t>
  </si>
  <si>
    <t>Number of Customers</t>
  </si>
  <si>
    <t>Average Revenue per Customer</t>
  </si>
  <si>
    <t>Revenue per Category:</t>
  </si>
  <si>
    <t>Revenue by Payment Method:</t>
  </si>
  <si>
    <t xml:space="preserve">Payment Method </t>
  </si>
  <si>
    <t>Revenue per State:</t>
  </si>
  <si>
    <t>State</t>
  </si>
  <si>
    <t>Revenue per product:</t>
  </si>
  <si>
    <t>Total Revenue by Order Status:</t>
  </si>
  <si>
    <t>Average Revenue per Customer:</t>
  </si>
  <si>
    <t>No chart for the below pivot table</t>
  </si>
  <si>
    <t>Percentage of Revenue per Order Status</t>
  </si>
  <si>
    <t>Clean, standardize, and analyze retail transaction data to understand revenue performance across products, categories, locations, and payment methods, and to identify drivers of revenue that affect financial reporting.</t>
  </si>
  <si>
    <t>Percentage of Revenue per Payment Method</t>
  </si>
  <si>
    <t xml:space="preserve">Category </t>
  </si>
  <si>
    <r>
      <rPr>
        <b/>
        <sz val="11"/>
        <color theme="1"/>
        <rFont val="Calibri"/>
        <family val="2"/>
        <scheme val="minor"/>
      </rPr>
      <t>Recommendations</t>
    </r>
    <r>
      <rPr>
        <sz val="11"/>
        <color theme="1"/>
        <rFont val="Calibri"/>
        <family val="2"/>
        <scheme val="minor"/>
      </rPr>
      <t>:</t>
    </r>
  </si>
  <si>
    <t>Total Revenue 2</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</si>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</sst>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8" formatCode="&quot;$&quot;#,##0.00_);[Red]\(&quot;$&quot;#,##0.00\)"/>
    <numFmt numFmtId="164" formatCode="&quot;$&quot;#,##0.00"/>
  </numFmts>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6"/>
      <color theme="1"/>
      <name val="Calibri"/>
      <family val="2"/>
      <scheme val="minor"/>
    </font>
    <font>
      <sz val="16"/>
      <color theme="1"/>
      <name val="Arial Rounded MT Bold"/>
      <family val="2"/>
    </font>
  </fonts>
  <fills count="3">
    <fill>
      <patternFill patternType="none"/>
    </fill>
    <fill>
      <patternFill patternType="gray125"/>
    </fill>
    <fill>
      <patternFill patternType="solid">
        <fgColor theme="3"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7">
    <xf numFmtId="0" fontId="0" fillId="0" borderId="0" xfId="0"/>
    <xf numFmtId="0" fontId="1" fillId="0" borderId="0" xfId="0" applyFont="1"/>
    <xf numFmtId="0" fontId="0" fillId="0" borderId="1" xfId="0" applyBorder="1" applyAlignment="1">
      <alignment horizontal="center"/>
    </xf>
    <xf numFmtId="14" fontId="0" fillId="0" borderId="1" xfId="0" applyNumberFormat="1"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2" fontId="0" fillId="0" borderId="1" xfId="0" applyNumberFormat="1" applyBorder="1" applyAlignment="1">
      <alignment horizontal="center"/>
    </xf>
    <xf numFmtId="2" fontId="0" fillId="0" borderId="0" xfId="0" applyNumberFormat="1"/>
    <xf numFmtId="0" fontId="0" fillId="0" borderId="0" xfId="0" applyAlignment="1">
      <alignment horizontal="center"/>
    </xf>
    <xf numFmtId="0" fontId="0" fillId="0" borderId="0" xfId="0" applyAlignment="1">
      <alignment horizontal="left"/>
    </xf>
    <xf numFmtId="0" fontId="0" fillId="0" borderId="2" xfId="0" applyBorder="1" applyAlignment="1">
      <alignment horizontal="center"/>
    </xf>
    <xf numFmtId="0" fontId="2" fillId="0" borderId="3" xfId="0" applyFont="1" applyBorder="1" applyAlignment="1">
      <alignment horizontal="center"/>
    </xf>
    <xf numFmtId="0" fontId="0" fillId="0" borderId="3" xfId="0" applyBorder="1" applyAlignment="1">
      <alignment horizontal="center"/>
    </xf>
    <xf numFmtId="0" fontId="0" fillId="0" borderId="7"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2" fontId="0" fillId="0" borderId="8" xfId="0" applyNumberFormat="1"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1" fillId="2" borderId="4" xfId="0" applyFont="1" applyFill="1" applyBorder="1" applyAlignment="1">
      <alignment horizontal="center"/>
    </xf>
    <xf numFmtId="0" fontId="1" fillId="2" borderId="5" xfId="0" applyFont="1" applyFill="1" applyBorder="1" applyAlignment="1">
      <alignment horizontal="center"/>
    </xf>
    <xf numFmtId="2" fontId="1" fillId="2" borderId="5" xfId="0" applyNumberFormat="1" applyFont="1" applyFill="1" applyBorder="1" applyAlignment="1">
      <alignment horizontal="center"/>
    </xf>
    <xf numFmtId="0" fontId="1" fillId="2" borderId="6" xfId="0" applyFont="1" applyFill="1" applyBorder="1" applyAlignment="1">
      <alignment horizontal="center"/>
    </xf>
    <xf numFmtId="0" fontId="0" fillId="0" borderId="0" xfId="0" pivotButton="1"/>
    <xf numFmtId="0" fontId="0" fillId="0" borderId="0" xfId="0" applyAlignment="1">
      <alignment horizontal="left" indent="1"/>
    </xf>
    <xf numFmtId="0" fontId="1" fillId="0" borderId="0" xfId="0" applyFont="1" applyAlignment="1">
      <alignment horizontal="left"/>
    </xf>
    <xf numFmtId="0" fontId="0" fillId="0" borderId="0" xfId="0" applyAlignment="1">
      <alignment wrapText="1"/>
    </xf>
    <xf numFmtId="10" fontId="0" fillId="0" borderId="0" xfId="0" applyNumberFormat="1"/>
    <xf numFmtId="0" fontId="4" fillId="0" borderId="0" xfId="0" applyFont="1"/>
    <xf numFmtId="0" fontId="1" fillId="0" borderId="0" xfId="0" applyFont="1" applyAlignment="1">
      <alignment horizontal="center"/>
    </xf>
    <xf numFmtId="8" fontId="0" fillId="0" borderId="0" xfId="0" applyNumberFormat="1" applyAlignment="1">
      <alignment horizontal="center"/>
    </xf>
    <xf numFmtId="10" fontId="0" fillId="0" borderId="0" xfId="0" applyNumberFormat="1" applyAlignment="1">
      <alignment horizontal="center"/>
    </xf>
    <xf numFmtId="0" fontId="5" fillId="0" borderId="0" xfId="0" applyFont="1"/>
    <xf numFmtId="164" fontId="0" fillId="0" borderId="0" xfId="0" applyNumberFormat="1"/>
    <xf numFmtId="164" fontId="5" fillId="0" borderId="0" xfId="0" applyNumberFormat="1" applyFont="1"/>
    <xf numFmtId="10" fontId="5" fillId="0" borderId="0" xfId="0" applyNumberFormat="1" applyFont="1"/>
    <xf numFmtId="0" fontId="0" fillId="0" borderId="0" xfId="0" applyNumberFormat="1"/>
  </cellXfs>
  <cellStyles count="1">
    <cellStyle name="Normal" xfId="0" builtinId="0"/>
  </cellStyles>
  <dxfs count="19">
    <dxf>
      <font>
        <b val="0"/>
        <i/>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3"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ill>
        <patternFill patternType="none">
          <bgColor auto="1"/>
        </patternFill>
      </fill>
    </dxf>
  </dxfs>
  <tableStyles count="2" defaultTableStyle="TableStyleMedium2" defaultPivotStyle="PivotStyleLight16">
    <tableStyle name="Slicer Style 1" pivot="0" table="0" count="2" xr9:uid="{54948473-9E34-4DD9-8544-0AE94B4E2E2A}">
      <tableStyleElement type="headerRow" dxfId="18"/>
    </tableStyle>
    <tableStyle name="Slicer Style 2" pivot="0" table="0" count="5" xr9:uid="{873A4681-482C-46F8-A8B9-2333610E8AAA}"/>
  </tableStyles>
  <colors>
    <mruColors>
      <color rgb="FFDAE9FE"/>
      <color rgb="FFCCECFF"/>
    </mruColors>
  </colors>
  <extLst>
    <ext xmlns:x14="http://schemas.microsoft.com/office/spreadsheetml/2009/9/main" uri="{46F421CA-312F-682f-3DD2-61675219B42D}">
      <x14:dxfs count="6">
        <dxf>
          <fill>
            <patternFill>
              <bgColor theme="3" tint="0.59996337778862885"/>
            </patternFill>
          </fill>
        </dxf>
        <dxf>
          <fill>
            <patternFill>
              <bgColor theme="3" tint="0.59996337778862885"/>
            </patternFill>
          </fill>
        </dxf>
        <dxf>
          <fill>
            <patternFill>
              <bgColor theme="3" tint="0.59996337778862885"/>
            </patternFill>
          </fill>
        </dxf>
        <dxf>
          <fill>
            <patternFill>
              <bgColor theme="3" tint="0.59996337778862885"/>
            </patternFill>
          </fill>
        </dxf>
        <dxf>
          <fill>
            <patternFill>
              <bgColor theme="4" tint="0.79998168889431442"/>
            </patternFill>
          </fill>
        </dxf>
        <dxf>
          <fill>
            <patternFill>
              <bgColor theme="4"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5"/>
          </x14:slicerStyleElements>
        </x14:slicerStyle>
        <x14:slicerStyle name="Slicer Style 2">
          <x14:slicerStyleElements>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by Order Status</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b="1"/>
              <a:t>Total Revenue by Order Status</a:t>
            </a:r>
          </a:p>
        </c:rich>
      </c:tx>
      <c:layout>
        <c:manualLayout>
          <c:xMode val="edge"/>
          <c:yMode val="edge"/>
          <c:x val="0.19481958130245769"/>
          <c:y val="6.802367113123732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20625634295713038"/>
          <c:y val="0.21182669874599008"/>
          <c:w val="0.43679286964129488"/>
          <c:h val="0.72798811606882485"/>
        </c:manualLayout>
      </c:layout>
      <c:pieChart>
        <c:varyColors val="1"/>
        <c:ser>
          <c:idx val="0"/>
          <c:order val="0"/>
          <c:tx>
            <c:strRef>
              <c:f>'Pivot Tables'!$C$34</c:f>
              <c:strCache>
                <c:ptCount val="1"/>
                <c:pt idx="0">
                  <c:v>Total Revenue</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AA4-4EE3-9945-88C2B306A923}"/>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AA4-4EE3-9945-88C2B306A923}"/>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AA4-4EE3-9945-88C2B306A92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Tables'!$B$35:$B$38</c:f>
              <c:strCache>
                <c:ptCount val="3"/>
                <c:pt idx="0">
                  <c:v>Cancelled</c:v>
                </c:pt>
                <c:pt idx="1">
                  <c:v>Complete</c:v>
                </c:pt>
                <c:pt idx="2">
                  <c:v>Pending</c:v>
                </c:pt>
              </c:strCache>
            </c:strRef>
          </c:cat>
          <c:val>
            <c:numRef>
              <c:f>'Pivot Tables'!$C$35:$C$38</c:f>
              <c:numCache>
                <c:formatCode>General</c:formatCode>
                <c:ptCount val="3"/>
                <c:pt idx="0">
                  <c:v>17890.169999999973</c:v>
                </c:pt>
                <c:pt idx="1">
                  <c:v>62437.489999999867</c:v>
                </c:pt>
                <c:pt idx="2">
                  <c:v>16244.05999999997</c:v>
                </c:pt>
              </c:numCache>
            </c:numRef>
          </c:val>
          <c:extLst>
            <c:ext xmlns:c16="http://schemas.microsoft.com/office/drawing/2014/chart" uri="{C3380CC4-5D6E-409C-BE32-E72D297353CC}">
              <c16:uniqueId val="{00000007-45B9-41C1-9778-7A5F67917224}"/>
            </c:ext>
          </c:extLst>
        </c:ser>
        <c:ser>
          <c:idx val="1"/>
          <c:order val="1"/>
          <c:tx>
            <c:strRef>
              <c:f>'Pivot Tables'!$D$34</c:f>
              <c:strCache>
                <c:ptCount val="1"/>
                <c:pt idx="0">
                  <c:v>Percentage of Revenue per Order Status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60B0-4E91-A2FE-81F61AAA52B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C5B-45E0-BA68-E82C8C95C479}"/>
              </c:ext>
            </c:extLst>
          </c:dPt>
          <c:dPt>
            <c:idx val="2"/>
            <c:bubble3D val="0"/>
            <c:spPr>
              <a:solidFill>
                <a:schemeClr val="accent3"/>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Tables'!$B$35:$B$38</c:f>
              <c:strCache>
                <c:ptCount val="3"/>
                <c:pt idx="0">
                  <c:v>Cancelled</c:v>
                </c:pt>
                <c:pt idx="1">
                  <c:v>Complete</c:v>
                </c:pt>
                <c:pt idx="2">
                  <c:v>Pending</c:v>
                </c:pt>
              </c:strCache>
            </c:strRef>
          </c:cat>
          <c:val>
            <c:numRef>
              <c:f>'Pivot Tables'!$D$35:$D$38</c:f>
              <c:numCache>
                <c:formatCode>0.00%</c:formatCode>
                <c:ptCount val="3"/>
                <c:pt idx="0">
                  <c:v>0.18525268059841957</c:v>
                </c:pt>
                <c:pt idx="1">
                  <c:v>0.64654010511565896</c:v>
                </c:pt>
                <c:pt idx="2">
                  <c:v>0.16820721428592142</c:v>
                </c:pt>
              </c:numCache>
            </c:numRef>
          </c:val>
          <c:extLst>
            <c:ext xmlns:c16="http://schemas.microsoft.com/office/drawing/2014/chart" uri="{C3380CC4-5D6E-409C-BE32-E72D297353CC}">
              <c16:uniqueId val="{00000006-2AA4-4EE3-9945-88C2B306A923}"/>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over Time</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Revenue over Time</a:t>
            </a:r>
          </a:p>
        </c:rich>
      </c:tx>
      <c:layout>
        <c:manualLayout>
          <c:xMode val="edge"/>
          <c:yMode val="edge"/>
          <c:x val="0.32043678160919536"/>
          <c:y val="0.161556887932962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Tables'!$K$11</c:f>
              <c:strCache>
                <c:ptCount val="1"/>
                <c:pt idx="0">
                  <c:v>Total Revenue</c:v>
                </c:pt>
              </c:strCache>
            </c:strRef>
          </c:tx>
          <c:spPr>
            <a:ln w="28575" cap="rnd">
              <a:solidFill>
                <a:schemeClr val="accent1"/>
              </a:solidFill>
              <a:round/>
            </a:ln>
            <a:effectLst/>
          </c:spPr>
          <c:marker>
            <c:symbol val="none"/>
          </c:marker>
          <c:cat>
            <c:multiLvlStrRef>
              <c:f>'Pivot Tables'!$J$12:$J$31</c:f>
              <c:multiLvlStrCache>
                <c:ptCount val="17"/>
                <c:lvl>
                  <c:pt idx="0">
                    <c:v>January 2023</c:v>
                  </c:pt>
                  <c:pt idx="1">
                    <c:v>Febuary 2023</c:v>
                  </c:pt>
                  <c:pt idx="2">
                    <c:v>March 2023</c:v>
                  </c:pt>
                  <c:pt idx="3">
                    <c:v>April 2023</c:v>
                  </c:pt>
                  <c:pt idx="4">
                    <c:v>May 2023</c:v>
                  </c:pt>
                  <c:pt idx="5">
                    <c:v>June 2023</c:v>
                  </c:pt>
                  <c:pt idx="6">
                    <c:v>July 2023</c:v>
                  </c:pt>
                  <c:pt idx="7">
                    <c:v>August 2023</c:v>
                  </c:pt>
                  <c:pt idx="8">
                    <c:v>September 2023</c:v>
                  </c:pt>
                  <c:pt idx="9">
                    <c:v>October 2023</c:v>
                  </c:pt>
                  <c:pt idx="10">
                    <c:v>November 2023</c:v>
                  </c:pt>
                  <c:pt idx="11">
                    <c:v>December 2023</c:v>
                  </c:pt>
                  <c:pt idx="12">
                    <c:v>January 2024</c:v>
                  </c:pt>
                  <c:pt idx="13">
                    <c:v>Febuary 2024</c:v>
                  </c:pt>
                  <c:pt idx="14">
                    <c:v>March 2024</c:v>
                  </c:pt>
                  <c:pt idx="15">
                    <c:v>April 2024</c:v>
                  </c:pt>
                  <c:pt idx="16">
                    <c:v>May 2024</c:v>
                  </c:pt>
                </c:lvl>
                <c:lvl>
                  <c:pt idx="0">
                    <c:v>Year 2023</c:v>
                  </c:pt>
                  <c:pt idx="12">
                    <c:v>Year 2024</c:v>
                  </c:pt>
                </c:lvl>
              </c:multiLvlStrCache>
            </c:multiLvlStrRef>
          </c:cat>
          <c:val>
            <c:numRef>
              <c:f>'Pivot Tables'!$K$12:$K$31</c:f>
              <c:numCache>
                <c:formatCode>General</c:formatCode>
                <c:ptCount val="17"/>
                <c:pt idx="0">
                  <c:v>4449.1099999999979</c:v>
                </c:pt>
                <c:pt idx="1">
                  <c:v>3832.1799999999994</c:v>
                </c:pt>
                <c:pt idx="2">
                  <c:v>3519.9799999999982</c:v>
                </c:pt>
                <c:pt idx="3">
                  <c:v>3452.2299999999982</c:v>
                </c:pt>
                <c:pt idx="4">
                  <c:v>4292.9399999999987</c:v>
                </c:pt>
                <c:pt idx="5">
                  <c:v>3292.1499999999987</c:v>
                </c:pt>
                <c:pt idx="6">
                  <c:v>4378.9699999999984</c:v>
                </c:pt>
                <c:pt idx="7">
                  <c:v>4917.8399999999965</c:v>
                </c:pt>
                <c:pt idx="8">
                  <c:v>3781.199999999998</c:v>
                </c:pt>
                <c:pt idx="9">
                  <c:v>5401.9199999999983</c:v>
                </c:pt>
                <c:pt idx="10">
                  <c:v>3024.2199999999975</c:v>
                </c:pt>
                <c:pt idx="11">
                  <c:v>5311.8599999999969</c:v>
                </c:pt>
                <c:pt idx="12">
                  <c:v>3142.1699999999987</c:v>
                </c:pt>
                <c:pt idx="13">
                  <c:v>5664.9799999999968</c:v>
                </c:pt>
                <c:pt idx="14">
                  <c:v>4381.069999999997</c:v>
                </c:pt>
                <c:pt idx="15">
                  <c:v>4226.2499999999982</c:v>
                </c:pt>
                <c:pt idx="16">
                  <c:v>1746.6200000000001</c:v>
                </c:pt>
              </c:numCache>
            </c:numRef>
          </c:val>
          <c:smooth val="0"/>
          <c:extLst>
            <c:ext xmlns:c16="http://schemas.microsoft.com/office/drawing/2014/chart" uri="{C3380CC4-5D6E-409C-BE32-E72D297353CC}">
              <c16:uniqueId val="{00000000-9356-4761-AEA5-359F0E57776E}"/>
            </c:ext>
          </c:extLst>
        </c:ser>
        <c:ser>
          <c:idx val="1"/>
          <c:order val="1"/>
          <c:tx>
            <c:strRef>
              <c:f>'Pivot Tables'!$L$11</c:f>
              <c:strCache>
                <c:ptCount val="1"/>
                <c:pt idx="0">
                  <c:v>Total Revenue 2</c:v>
                </c:pt>
              </c:strCache>
            </c:strRef>
          </c:tx>
          <c:spPr>
            <a:ln w="28575" cap="rnd">
              <a:solidFill>
                <a:schemeClr val="accent2"/>
              </a:solidFill>
              <a:round/>
            </a:ln>
            <a:effectLst/>
          </c:spPr>
          <c:marker>
            <c:symbol val="none"/>
          </c:marker>
          <c:cat>
            <c:multiLvlStrRef>
              <c:f>'Pivot Tables'!$J$12:$J$31</c:f>
              <c:multiLvlStrCache>
                <c:ptCount val="17"/>
                <c:lvl>
                  <c:pt idx="0">
                    <c:v>January 2023</c:v>
                  </c:pt>
                  <c:pt idx="1">
                    <c:v>Febuary 2023</c:v>
                  </c:pt>
                  <c:pt idx="2">
                    <c:v>March 2023</c:v>
                  </c:pt>
                  <c:pt idx="3">
                    <c:v>April 2023</c:v>
                  </c:pt>
                  <c:pt idx="4">
                    <c:v>May 2023</c:v>
                  </c:pt>
                  <c:pt idx="5">
                    <c:v>June 2023</c:v>
                  </c:pt>
                  <c:pt idx="6">
                    <c:v>July 2023</c:v>
                  </c:pt>
                  <c:pt idx="7">
                    <c:v>August 2023</c:v>
                  </c:pt>
                  <c:pt idx="8">
                    <c:v>September 2023</c:v>
                  </c:pt>
                  <c:pt idx="9">
                    <c:v>October 2023</c:v>
                  </c:pt>
                  <c:pt idx="10">
                    <c:v>November 2023</c:v>
                  </c:pt>
                  <c:pt idx="11">
                    <c:v>December 2023</c:v>
                  </c:pt>
                  <c:pt idx="12">
                    <c:v>January 2024</c:v>
                  </c:pt>
                  <c:pt idx="13">
                    <c:v>Febuary 2024</c:v>
                  </c:pt>
                  <c:pt idx="14">
                    <c:v>March 2024</c:v>
                  </c:pt>
                  <c:pt idx="15">
                    <c:v>April 2024</c:v>
                  </c:pt>
                  <c:pt idx="16">
                    <c:v>May 2024</c:v>
                  </c:pt>
                </c:lvl>
                <c:lvl>
                  <c:pt idx="0">
                    <c:v>Year 2023</c:v>
                  </c:pt>
                  <c:pt idx="12">
                    <c:v>Year 2024</c:v>
                  </c:pt>
                </c:lvl>
              </c:multiLvlStrCache>
            </c:multiLvlStrRef>
          </c:cat>
          <c:val>
            <c:numRef>
              <c:f>'Pivot Tables'!$L$12:$L$31</c:f>
              <c:numCache>
                <c:formatCode>General</c:formatCode>
                <c:ptCount val="17"/>
                <c:pt idx="0">
                  <c:v>4449.1099999999979</c:v>
                </c:pt>
                <c:pt idx="1">
                  <c:v>3832.1799999999994</c:v>
                </c:pt>
                <c:pt idx="2">
                  <c:v>3519.9799999999982</c:v>
                </c:pt>
                <c:pt idx="3">
                  <c:v>3452.2299999999982</c:v>
                </c:pt>
                <c:pt idx="4">
                  <c:v>4292.9399999999987</c:v>
                </c:pt>
                <c:pt idx="5">
                  <c:v>3292.1499999999987</c:v>
                </c:pt>
                <c:pt idx="6">
                  <c:v>4378.9699999999984</c:v>
                </c:pt>
                <c:pt idx="7">
                  <c:v>4917.8399999999965</c:v>
                </c:pt>
                <c:pt idx="8">
                  <c:v>3781.199999999998</c:v>
                </c:pt>
                <c:pt idx="9">
                  <c:v>5401.9199999999983</c:v>
                </c:pt>
                <c:pt idx="10">
                  <c:v>3024.2199999999975</c:v>
                </c:pt>
                <c:pt idx="11">
                  <c:v>5311.8599999999969</c:v>
                </c:pt>
                <c:pt idx="12">
                  <c:v>3142.1699999999987</c:v>
                </c:pt>
                <c:pt idx="13">
                  <c:v>5664.9799999999968</c:v>
                </c:pt>
                <c:pt idx="14">
                  <c:v>4381.069999999997</c:v>
                </c:pt>
                <c:pt idx="15">
                  <c:v>4226.2499999999982</c:v>
                </c:pt>
                <c:pt idx="16">
                  <c:v>1746.6200000000001</c:v>
                </c:pt>
              </c:numCache>
            </c:numRef>
          </c:val>
          <c:smooth val="0"/>
          <c:extLst>
            <c:ext xmlns:c16="http://schemas.microsoft.com/office/drawing/2014/chart" uri="{C3380CC4-5D6E-409C-BE32-E72D297353CC}">
              <c16:uniqueId val="{00000000-3EE5-47AA-B717-C3843CAE48A0}"/>
            </c:ext>
          </c:extLst>
        </c:ser>
        <c:dLbls>
          <c:showLegendKey val="0"/>
          <c:showVal val="0"/>
          <c:showCatName val="0"/>
          <c:showSerName val="0"/>
          <c:showPercent val="0"/>
          <c:showBubbleSize val="0"/>
        </c:dLbls>
        <c:smooth val="0"/>
        <c:axId val="588189888"/>
        <c:axId val="588186528"/>
      </c:lineChart>
      <c:catAx>
        <c:axId val="5881898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a:t>
                </a:r>
              </a:p>
            </c:rich>
          </c:tx>
          <c:layout>
            <c:manualLayout>
              <c:xMode val="edge"/>
              <c:yMode val="edge"/>
              <c:x val="0.56250318843140934"/>
              <c:y val="0.8472141620675468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186528"/>
        <c:crosses val="autoZero"/>
        <c:auto val="1"/>
        <c:lblAlgn val="ctr"/>
        <c:lblOffset val="100"/>
        <c:noMultiLvlLbl val="0"/>
      </c:catAx>
      <c:valAx>
        <c:axId val="5881865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layout>
            <c:manualLayout>
              <c:xMode val="edge"/>
              <c:yMode val="edge"/>
              <c:x val="2.2988505747126436E-2"/>
              <c:y val="0.2832143063566465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189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Tables!Regional Category Prefrences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 Category Preferences</a:t>
            </a:r>
          </a:p>
        </c:rich>
      </c:tx>
      <c:layout>
        <c:manualLayout>
          <c:xMode val="edge"/>
          <c:yMode val="edge"/>
          <c:x val="0.2617311267669083"/>
          <c:y val="0.1827080503013202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52549458985611"/>
          <c:y val="0.32707895888014005"/>
          <c:w val="0.67944685039370079"/>
          <c:h val="0.35966207349081364"/>
        </c:manualLayout>
      </c:layout>
      <c:barChart>
        <c:barDir val="col"/>
        <c:grouping val="stacked"/>
        <c:varyColors val="0"/>
        <c:ser>
          <c:idx val="0"/>
          <c:order val="0"/>
          <c:tx>
            <c:strRef>
              <c:f>'Pivot Tables'!$C$7:$C$8</c:f>
              <c:strCache>
                <c:ptCount val="1"/>
                <c:pt idx="0">
                  <c:v>CA</c:v>
                </c:pt>
              </c:strCache>
            </c:strRef>
          </c:tx>
          <c:spPr>
            <a:solidFill>
              <a:schemeClr val="accent1"/>
            </a:solidFill>
            <a:ln>
              <a:noFill/>
            </a:ln>
            <a:effectLst/>
          </c:spPr>
          <c:invertIfNegative val="0"/>
          <c:cat>
            <c:strRef>
              <c:f>'Pivot Tables'!$B$9:$B$15</c:f>
              <c:strCache>
                <c:ptCount val="6"/>
                <c:pt idx="0">
                  <c:v>Electronics</c:v>
                </c:pt>
                <c:pt idx="1">
                  <c:v>Home</c:v>
                </c:pt>
                <c:pt idx="2">
                  <c:v>Footwear</c:v>
                </c:pt>
                <c:pt idx="3">
                  <c:v>Accessories</c:v>
                </c:pt>
                <c:pt idx="4">
                  <c:v>Apparel</c:v>
                </c:pt>
                <c:pt idx="5">
                  <c:v>Stationery</c:v>
                </c:pt>
              </c:strCache>
            </c:strRef>
          </c:cat>
          <c:val>
            <c:numRef>
              <c:f>'Pivot Tables'!$C$9:$C$15</c:f>
              <c:numCache>
                <c:formatCode>General</c:formatCode>
                <c:ptCount val="6"/>
                <c:pt idx="0">
                  <c:v>5883.9099999999935</c:v>
                </c:pt>
                <c:pt idx="1">
                  <c:v>4458.8399999999965</c:v>
                </c:pt>
                <c:pt idx="2">
                  <c:v>3119.6099999999988</c:v>
                </c:pt>
                <c:pt idx="3">
                  <c:v>4799.199999999998</c:v>
                </c:pt>
                <c:pt idx="4">
                  <c:v>2495.0699999999993</c:v>
                </c:pt>
                <c:pt idx="5">
                  <c:v>389.22000000000008</c:v>
                </c:pt>
              </c:numCache>
            </c:numRef>
          </c:val>
          <c:extLst>
            <c:ext xmlns:c16="http://schemas.microsoft.com/office/drawing/2014/chart" uri="{C3380CC4-5D6E-409C-BE32-E72D297353CC}">
              <c16:uniqueId val="{00000000-BC58-45CE-9561-592A258AA183}"/>
            </c:ext>
          </c:extLst>
        </c:ser>
        <c:ser>
          <c:idx val="1"/>
          <c:order val="1"/>
          <c:tx>
            <c:strRef>
              <c:f>'Pivot Tables'!$D$7:$D$8</c:f>
              <c:strCache>
                <c:ptCount val="1"/>
                <c:pt idx="0">
                  <c:v>NJ</c:v>
                </c:pt>
              </c:strCache>
            </c:strRef>
          </c:tx>
          <c:spPr>
            <a:solidFill>
              <a:schemeClr val="accent2"/>
            </a:solidFill>
            <a:ln>
              <a:noFill/>
            </a:ln>
            <a:effectLst/>
          </c:spPr>
          <c:invertIfNegative val="0"/>
          <c:cat>
            <c:strRef>
              <c:f>'Pivot Tables'!$B$9:$B$15</c:f>
              <c:strCache>
                <c:ptCount val="6"/>
                <c:pt idx="0">
                  <c:v>Electronics</c:v>
                </c:pt>
                <c:pt idx="1">
                  <c:v>Home</c:v>
                </c:pt>
                <c:pt idx="2">
                  <c:v>Footwear</c:v>
                </c:pt>
                <c:pt idx="3">
                  <c:v>Accessories</c:v>
                </c:pt>
                <c:pt idx="4">
                  <c:v>Apparel</c:v>
                </c:pt>
                <c:pt idx="5">
                  <c:v>Stationery</c:v>
                </c:pt>
              </c:strCache>
            </c:strRef>
          </c:cat>
          <c:val>
            <c:numRef>
              <c:f>'Pivot Tables'!$D$9:$D$15</c:f>
              <c:numCache>
                <c:formatCode>General</c:formatCode>
                <c:ptCount val="6"/>
                <c:pt idx="0">
                  <c:v>12428.059999999994</c:v>
                </c:pt>
                <c:pt idx="1">
                  <c:v>6568.4499999999962</c:v>
                </c:pt>
                <c:pt idx="2">
                  <c:v>8158.9799999999968</c:v>
                </c:pt>
                <c:pt idx="3">
                  <c:v>5519.0799999999972</c:v>
                </c:pt>
                <c:pt idx="4">
                  <c:v>5494.1999999999953</c:v>
                </c:pt>
                <c:pt idx="5">
                  <c:v>259.48</c:v>
                </c:pt>
              </c:numCache>
            </c:numRef>
          </c:val>
          <c:extLst>
            <c:ext xmlns:c16="http://schemas.microsoft.com/office/drawing/2014/chart" uri="{C3380CC4-5D6E-409C-BE32-E72D297353CC}">
              <c16:uniqueId val="{00000003-7696-442A-A408-2D5B79E85E94}"/>
            </c:ext>
          </c:extLst>
        </c:ser>
        <c:ser>
          <c:idx val="2"/>
          <c:order val="2"/>
          <c:tx>
            <c:strRef>
              <c:f>'Pivot Tables'!$E$7:$E$8</c:f>
              <c:strCache>
                <c:ptCount val="1"/>
                <c:pt idx="0">
                  <c:v>NY</c:v>
                </c:pt>
              </c:strCache>
            </c:strRef>
          </c:tx>
          <c:spPr>
            <a:solidFill>
              <a:schemeClr val="accent3"/>
            </a:solidFill>
            <a:ln>
              <a:noFill/>
            </a:ln>
            <a:effectLst/>
          </c:spPr>
          <c:invertIfNegative val="0"/>
          <c:cat>
            <c:strRef>
              <c:f>'Pivot Tables'!$B$9:$B$15</c:f>
              <c:strCache>
                <c:ptCount val="6"/>
                <c:pt idx="0">
                  <c:v>Electronics</c:v>
                </c:pt>
                <c:pt idx="1">
                  <c:v>Home</c:v>
                </c:pt>
                <c:pt idx="2">
                  <c:v>Footwear</c:v>
                </c:pt>
                <c:pt idx="3">
                  <c:v>Accessories</c:v>
                </c:pt>
                <c:pt idx="4">
                  <c:v>Apparel</c:v>
                </c:pt>
                <c:pt idx="5">
                  <c:v>Stationery</c:v>
                </c:pt>
              </c:strCache>
            </c:strRef>
          </c:cat>
          <c:val>
            <c:numRef>
              <c:f>'Pivot Tables'!$E$9:$E$15</c:f>
              <c:numCache>
                <c:formatCode>General</c:formatCode>
                <c:ptCount val="6"/>
                <c:pt idx="0">
                  <c:v>6714.1499999999969</c:v>
                </c:pt>
                <c:pt idx="1">
                  <c:v>1629.5300000000002</c:v>
                </c:pt>
                <c:pt idx="2">
                  <c:v>2799.65</c:v>
                </c:pt>
                <c:pt idx="3">
                  <c:v>1079.82</c:v>
                </c:pt>
                <c:pt idx="4">
                  <c:v>1103.4900000000002</c:v>
                </c:pt>
                <c:pt idx="5">
                  <c:v>194.61</c:v>
                </c:pt>
              </c:numCache>
            </c:numRef>
          </c:val>
          <c:extLst>
            <c:ext xmlns:c16="http://schemas.microsoft.com/office/drawing/2014/chart" uri="{C3380CC4-5D6E-409C-BE32-E72D297353CC}">
              <c16:uniqueId val="{00000004-7696-442A-A408-2D5B79E85E94}"/>
            </c:ext>
          </c:extLst>
        </c:ser>
        <c:ser>
          <c:idx val="3"/>
          <c:order val="3"/>
          <c:tx>
            <c:strRef>
              <c:f>'Pivot Tables'!$F$7:$F$8</c:f>
              <c:strCache>
                <c:ptCount val="1"/>
                <c:pt idx="0">
                  <c:v>PA</c:v>
                </c:pt>
              </c:strCache>
            </c:strRef>
          </c:tx>
          <c:spPr>
            <a:solidFill>
              <a:schemeClr val="accent4"/>
            </a:solidFill>
            <a:ln>
              <a:noFill/>
            </a:ln>
            <a:effectLst/>
          </c:spPr>
          <c:invertIfNegative val="0"/>
          <c:cat>
            <c:strRef>
              <c:f>'Pivot Tables'!$B$9:$B$15</c:f>
              <c:strCache>
                <c:ptCount val="6"/>
                <c:pt idx="0">
                  <c:v>Electronics</c:v>
                </c:pt>
                <c:pt idx="1">
                  <c:v>Home</c:v>
                </c:pt>
                <c:pt idx="2">
                  <c:v>Footwear</c:v>
                </c:pt>
                <c:pt idx="3">
                  <c:v>Accessories</c:v>
                </c:pt>
                <c:pt idx="4">
                  <c:v>Apparel</c:v>
                </c:pt>
                <c:pt idx="5">
                  <c:v>Stationery</c:v>
                </c:pt>
              </c:strCache>
            </c:strRef>
          </c:cat>
          <c:val>
            <c:numRef>
              <c:f>'Pivot Tables'!$F$9:$F$15</c:f>
              <c:numCache>
                <c:formatCode>General</c:formatCode>
                <c:ptCount val="6"/>
                <c:pt idx="0">
                  <c:v>2684.3999999999992</c:v>
                </c:pt>
                <c:pt idx="1">
                  <c:v>3139.2199999999984</c:v>
                </c:pt>
                <c:pt idx="2">
                  <c:v>3039.62</c:v>
                </c:pt>
                <c:pt idx="3">
                  <c:v>2039.66</c:v>
                </c:pt>
                <c:pt idx="4">
                  <c:v>1559.4900000000002</c:v>
                </c:pt>
                <c:pt idx="5">
                  <c:v>159.68</c:v>
                </c:pt>
              </c:numCache>
            </c:numRef>
          </c:val>
          <c:extLst>
            <c:ext xmlns:c16="http://schemas.microsoft.com/office/drawing/2014/chart" uri="{C3380CC4-5D6E-409C-BE32-E72D297353CC}">
              <c16:uniqueId val="{00000005-7696-442A-A408-2D5B79E85E94}"/>
            </c:ext>
          </c:extLst>
        </c:ser>
        <c:ser>
          <c:idx val="4"/>
          <c:order val="4"/>
          <c:tx>
            <c:strRef>
              <c:f>'Pivot Tables'!$G$7:$G$8</c:f>
              <c:strCache>
                <c:ptCount val="1"/>
                <c:pt idx="0">
                  <c:v>TX</c:v>
                </c:pt>
              </c:strCache>
            </c:strRef>
          </c:tx>
          <c:spPr>
            <a:solidFill>
              <a:schemeClr val="accent5"/>
            </a:solidFill>
            <a:ln>
              <a:noFill/>
            </a:ln>
            <a:effectLst/>
          </c:spPr>
          <c:invertIfNegative val="0"/>
          <c:cat>
            <c:strRef>
              <c:f>'Pivot Tables'!$B$9:$B$15</c:f>
              <c:strCache>
                <c:ptCount val="6"/>
                <c:pt idx="0">
                  <c:v>Electronics</c:v>
                </c:pt>
                <c:pt idx="1">
                  <c:v>Home</c:v>
                </c:pt>
                <c:pt idx="2">
                  <c:v>Footwear</c:v>
                </c:pt>
                <c:pt idx="3">
                  <c:v>Accessories</c:v>
                </c:pt>
                <c:pt idx="4">
                  <c:v>Apparel</c:v>
                </c:pt>
                <c:pt idx="5">
                  <c:v>Stationery</c:v>
                </c:pt>
              </c:strCache>
            </c:strRef>
          </c:cat>
          <c:val>
            <c:numRef>
              <c:f>'Pivot Tables'!$G$9:$G$15</c:f>
              <c:numCache>
                <c:formatCode>General</c:formatCode>
                <c:ptCount val="6"/>
                <c:pt idx="0">
                  <c:v>3214.4999999999991</c:v>
                </c:pt>
                <c:pt idx="1">
                  <c:v>3059.1999999999989</c:v>
                </c:pt>
                <c:pt idx="2">
                  <c:v>1199.8499999999999</c:v>
                </c:pt>
                <c:pt idx="3">
                  <c:v>1319.78</c:v>
                </c:pt>
                <c:pt idx="4">
                  <c:v>1911.2700000000004</c:v>
                </c:pt>
                <c:pt idx="5">
                  <c:v>149.69999999999999</c:v>
                </c:pt>
              </c:numCache>
            </c:numRef>
          </c:val>
          <c:extLst>
            <c:ext xmlns:c16="http://schemas.microsoft.com/office/drawing/2014/chart" uri="{C3380CC4-5D6E-409C-BE32-E72D297353CC}">
              <c16:uniqueId val="{00000006-7696-442A-A408-2D5B79E85E94}"/>
            </c:ext>
          </c:extLst>
        </c:ser>
        <c:dLbls>
          <c:showLegendKey val="0"/>
          <c:showVal val="0"/>
          <c:showCatName val="0"/>
          <c:showSerName val="0"/>
          <c:showPercent val="0"/>
          <c:showBubbleSize val="0"/>
        </c:dLbls>
        <c:gapWidth val="50"/>
        <c:overlap val="100"/>
        <c:axId val="958217136"/>
        <c:axId val="958215696"/>
      </c:barChart>
      <c:catAx>
        <c:axId val="9582171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Catagory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215696"/>
        <c:crosses val="autoZero"/>
        <c:auto val="1"/>
        <c:lblAlgn val="ctr"/>
        <c:lblOffset val="100"/>
        <c:noMultiLvlLbl val="0"/>
      </c:catAx>
      <c:valAx>
        <c:axId val="9582156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layout>
            <c:manualLayout>
              <c:xMode val="edge"/>
              <c:yMode val="edge"/>
              <c:x val="1.6427541418982707E-2"/>
              <c:y val="0.37408573928258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217136"/>
        <c:crosses val="autoZero"/>
        <c:crossBetween val="between"/>
      </c:valAx>
      <c:spPr>
        <a:noFill/>
        <a:ln>
          <a:noFill/>
        </a:ln>
        <a:effectLst/>
      </c:spPr>
    </c:plotArea>
    <c:legend>
      <c:legendPos val="r"/>
      <c:layout>
        <c:manualLayout>
          <c:xMode val="edge"/>
          <c:yMode val="edge"/>
          <c:x val="0.83636363636363631"/>
          <c:y val="0.31704724409448815"/>
          <c:w val="0.16363633780969725"/>
          <c:h val="0.3646308681970715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Tables!Total Revenue by Product</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Revenue by Product</a:t>
            </a:r>
            <a:endParaRPr lang="en-US" b="1"/>
          </a:p>
        </c:rich>
      </c:tx>
      <c:layout>
        <c:manualLayout>
          <c:xMode val="edge"/>
          <c:yMode val="edge"/>
          <c:x val="0.29140966754155728"/>
          <c:y val="0.183143773694954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05573087410765"/>
          <c:y val="0.31781969962088075"/>
          <c:w val="0.74845603674540684"/>
          <c:h val="0.33454542140565763"/>
        </c:manualLayout>
      </c:layout>
      <c:barChart>
        <c:barDir val="col"/>
        <c:grouping val="clustered"/>
        <c:varyColors val="0"/>
        <c:ser>
          <c:idx val="0"/>
          <c:order val="0"/>
          <c:tx>
            <c:strRef>
              <c:f>'Pivot Tables'!$C$21</c:f>
              <c:strCache>
                <c:ptCount val="1"/>
                <c:pt idx="0">
                  <c:v>Total</c:v>
                </c:pt>
              </c:strCache>
            </c:strRef>
          </c:tx>
          <c:spPr>
            <a:solidFill>
              <a:schemeClr val="accent1"/>
            </a:solidFill>
            <a:ln>
              <a:noFill/>
            </a:ln>
            <a:effectLst/>
          </c:spPr>
          <c:invertIfNegative val="0"/>
          <c:cat>
            <c:strRef>
              <c:f>'Pivot Tables'!$B$22:$B$31</c:f>
              <c:strCache>
                <c:ptCount val="9"/>
                <c:pt idx="0">
                  <c:v>Headphones</c:v>
                </c:pt>
                <c:pt idx="1">
                  <c:v>Sneakers</c:v>
                </c:pt>
                <c:pt idx="2">
                  <c:v>Backpack</c:v>
                </c:pt>
                <c:pt idx="3">
                  <c:v>Coffee Maker</c:v>
                </c:pt>
                <c:pt idx="4">
                  <c:v>Jeans</c:v>
                </c:pt>
                <c:pt idx="5">
                  <c:v>Blender</c:v>
                </c:pt>
                <c:pt idx="6">
                  <c:v>T-Shirt</c:v>
                </c:pt>
                <c:pt idx="7">
                  <c:v>Phone Charger</c:v>
                </c:pt>
                <c:pt idx="8">
                  <c:v>Notebook</c:v>
                </c:pt>
              </c:strCache>
            </c:strRef>
          </c:cat>
          <c:val>
            <c:numRef>
              <c:f>'Pivot Tables'!$C$22:$C$31</c:f>
              <c:numCache>
                <c:formatCode>General</c:formatCode>
                <c:ptCount val="9"/>
                <c:pt idx="0">
                  <c:v>27597.239999999998</c:v>
                </c:pt>
                <c:pt idx="1">
                  <c:v>18317.709999999988</c:v>
                </c:pt>
                <c:pt idx="2">
                  <c:v>14757.539999999985</c:v>
                </c:pt>
                <c:pt idx="3">
                  <c:v>11447.70999999999</c:v>
                </c:pt>
                <c:pt idx="4">
                  <c:v>8997.7499999999909</c:v>
                </c:pt>
                <c:pt idx="5">
                  <c:v>7407.5299999999916</c:v>
                </c:pt>
                <c:pt idx="6">
                  <c:v>3565.7699999999959</c:v>
                </c:pt>
                <c:pt idx="7">
                  <c:v>3327.7799999999975</c:v>
                </c:pt>
                <c:pt idx="8">
                  <c:v>1152.6900000000014</c:v>
                </c:pt>
              </c:numCache>
            </c:numRef>
          </c:val>
          <c:extLst>
            <c:ext xmlns:c16="http://schemas.microsoft.com/office/drawing/2014/chart" uri="{C3380CC4-5D6E-409C-BE32-E72D297353CC}">
              <c16:uniqueId val="{00000000-DED6-4FBE-9E5C-2778DAE9537D}"/>
            </c:ext>
          </c:extLst>
        </c:ser>
        <c:dLbls>
          <c:showLegendKey val="0"/>
          <c:showVal val="0"/>
          <c:showCatName val="0"/>
          <c:showSerName val="0"/>
          <c:showPercent val="0"/>
          <c:showBubbleSize val="0"/>
        </c:dLbls>
        <c:gapWidth val="219"/>
        <c:overlap val="-27"/>
        <c:axId val="125461279"/>
        <c:axId val="125461759"/>
      </c:barChart>
      <c:catAx>
        <c:axId val="1254612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Product</a:t>
                </a:r>
              </a:p>
            </c:rich>
          </c:tx>
          <c:layout>
            <c:manualLayout>
              <c:xMode val="edge"/>
              <c:yMode val="edge"/>
              <c:x val="0.45814598771531945"/>
              <c:y val="0.8600424188201681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461759"/>
        <c:crosses val="autoZero"/>
        <c:auto val="1"/>
        <c:lblAlgn val="ctr"/>
        <c:lblOffset val="100"/>
        <c:noMultiLvlLbl val="0"/>
      </c:catAx>
      <c:valAx>
        <c:axId val="1254617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461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by Catagory</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Tables'!$G$21</c:f>
              <c:strCache>
                <c:ptCount val="1"/>
                <c:pt idx="0">
                  <c:v>Total</c:v>
                </c:pt>
              </c:strCache>
            </c:strRef>
          </c:tx>
          <c:spPr>
            <a:solidFill>
              <a:schemeClr val="accent1"/>
            </a:solidFill>
            <a:ln>
              <a:noFill/>
            </a:ln>
            <a:effectLst/>
          </c:spPr>
          <c:invertIfNegative val="0"/>
          <c:cat>
            <c:strRef>
              <c:f>'Pivot Tables'!$F$22:$F$28</c:f>
              <c:strCache>
                <c:ptCount val="6"/>
                <c:pt idx="0">
                  <c:v>Electronics</c:v>
                </c:pt>
                <c:pt idx="1">
                  <c:v>Home</c:v>
                </c:pt>
                <c:pt idx="2">
                  <c:v>Footwear</c:v>
                </c:pt>
                <c:pt idx="3">
                  <c:v>Accessories</c:v>
                </c:pt>
                <c:pt idx="4">
                  <c:v>Apparel</c:v>
                </c:pt>
                <c:pt idx="5">
                  <c:v>Stationery</c:v>
                </c:pt>
              </c:strCache>
            </c:strRef>
          </c:cat>
          <c:val>
            <c:numRef>
              <c:f>'Pivot Tables'!$G$22:$G$28</c:f>
              <c:numCache>
                <c:formatCode>General</c:formatCode>
                <c:ptCount val="6"/>
                <c:pt idx="0">
                  <c:v>30925.020000000022</c:v>
                </c:pt>
                <c:pt idx="1">
                  <c:v>18855.239999999994</c:v>
                </c:pt>
                <c:pt idx="2">
                  <c:v>18317.709999999988</c:v>
                </c:pt>
                <c:pt idx="3">
                  <c:v>14757.539999999985</c:v>
                </c:pt>
                <c:pt idx="4">
                  <c:v>12563.519999999975</c:v>
                </c:pt>
                <c:pt idx="5">
                  <c:v>1152.6900000000014</c:v>
                </c:pt>
              </c:numCache>
            </c:numRef>
          </c:val>
          <c:extLst>
            <c:ext xmlns:c16="http://schemas.microsoft.com/office/drawing/2014/chart" uri="{C3380CC4-5D6E-409C-BE32-E72D297353CC}">
              <c16:uniqueId val="{00000001-30F9-4C25-80DD-B027851AD321}"/>
            </c:ext>
          </c:extLst>
        </c:ser>
        <c:dLbls>
          <c:showLegendKey val="0"/>
          <c:showVal val="0"/>
          <c:showCatName val="0"/>
          <c:showSerName val="0"/>
          <c:showPercent val="0"/>
          <c:showBubbleSize val="0"/>
        </c:dLbls>
        <c:gapWidth val="219"/>
        <c:overlap val="-27"/>
        <c:axId val="248331295"/>
        <c:axId val="144496847"/>
      </c:barChart>
      <c:catAx>
        <c:axId val="2483312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Catagory</a:t>
                </a:r>
              </a:p>
            </c:rich>
          </c:tx>
          <c:layout>
            <c:manualLayout>
              <c:xMode val="edge"/>
              <c:yMode val="edge"/>
              <c:x val="0.50210566963850123"/>
              <c:y val="0.846947414673093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96847"/>
        <c:crosses val="autoZero"/>
        <c:auto val="1"/>
        <c:lblAlgn val="ctr"/>
        <c:lblOffset val="100"/>
        <c:noMultiLvlLbl val="0"/>
      </c:catAx>
      <c:valAx>
        <c:axId val="1444968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331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by Payment Method</c:name>
    <c:fmtId val="38"/>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Total</a:t>
            </a:r>
            <a:r>
              <a:rPr lang="en-US" baseline="0"/>
              <a:t> Revenue by Payment Method</a:t>
            </a:r>
            <a:endParaRPr lang="en-US"/>
          </a:p>
        </c:rich>
      </c:tx>
      <c:layout>
        <c:manualLayout>
          <c:xMode val="edge"/>
          <c:yMode val="edge"/>
          <c:x val="0.13742344706911636"/>
          <c:y val="0.15536599591717701"/>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26463079615048118"/>
          <c:y val="0.31265784485272669"/>
          <c:w val="0.38462751531058625"/>
          <c:h val="0.64104585885097709"/>
        </c:manualLayout>
      </c:layout>
      <c:pieChart>
        <c:varyColors val="1"/>
        <c:ser>
          <c:idx val="0"/>
          <c:order val="0"/>
          <c:tx>
            <c:strRef>
              <c:f>'Pivot Tables'!$G$36</c:f>
              <c:strCache>
                <c:ptCount val="1"/>
                <c:pt idx="0">
                  <c:v>Revenue </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A310-4AC9-ADA3-9EACD596F9A7}"/>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A310-4AC9-ADA3-9EACD596F9A7}"/>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A310-4AC9-ADA3-9EACD596F9A7}"/>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A310-4AC9-ADA3-9EACD596F9A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Tables'!$F$37:$F$41</c:f>
              <c:strCache>
                <c:ptCount val="4"/>
                <c:pt idx="0">
                  <c:v>Credit Card</c:v>
                </c:pt>
                <c:pt idx="1">
                  <c:v>Apple Pay</c:v>
                </c:pt>
                <c:pt idx="2">
                  <c:v>Debit</c:v>
                </c:pt>
                <c:pt idx="3">
                  <c:v>Cash</c:v>
                </c:pt>
              </c:strCache>
            </c:strRef>
          </c:cat>
          <c:val>
            <c:numRef>
              <c:f>'Pivot Tables'!$G$37:$G$41</c:f>
              <c:numCache>
                <c:formatCode>General</c:formatCode>
                <c:ptCount val="4"/>
                <c:pt idx="0">
                  <c:v>49934.359999999964</c:v>
                </c:pt>
                <c:pt idx="1">
                  <c:v>16485.099999999973</c:v>
                </c:pt>
                <c:pt idx="2">
                  <c:v>16062.459999999981</c:v>
                </c:pt>
                <c:pt idx="3">
                  <c:v>14089.799999999977</c:v>
                </c:pt>
              </c:numCache>
            </c:numRef>
          </c:val>
          <c:extLst>
            <c:ext xmlns:c16="http://schemas.microsoft.com/office/drawing/2014/chart" uri="{C3380CC4-5D6E-409C-BE32-E72D297353CC}">
              <c16:uniqueId val="{0000000B-705D-4FC1-AEDD-19E703166657}"/>
            </c:ext>
          </c:extLst>
        </c:ser>
        <c:ser>
          <c:idx val="1"/>
          <c:order val="1"/>
          <c:tx>
            <c:strRef>
              <c:f>'Pivot Tables'!$H$36</c:f>
              <c:strCache>
                <c:ptCount val="1"/>
                <c:pt idx="0">
                  <c:v>Percentage of Revenue per Payment Method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A310-4AC9-ADA3-9EACD596F9A7}"/>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A310-4AC9-ADA3-9EACD596F9A7}"/>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A310-4AC9-ADA3-9EACD596F9A7}"/>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A310-4AC9-ADA3-9EACD596F9A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Tables'!$F$37:$F$41</c:f>
              <c:strCache>
                <c:ptCount val="4"/>
                <c:pt idx="0">
                  <c:v>Credit Card</c:v>
                </c:pt>
                <c:pt idx="1">
                  <c:v>Apple Pay</c:v>
                </c:pt>
                <c:pt idx="2">
                  <c:v>Debit</c:v>
                </c:pt>
                <c:pt idx="3">
                  <c:v>Cash</c:v>
                </c:pt>
              </c:strCache>
            </c:strRef>
          </c:cat>
          <c:val>
            <c:numRef>
              <c:f>'Pivot Tables'!$H$37:$H$41</c:f>
              <c:numCache>
                <c:formatCode>0.00%</c:formatCode>
                <c:ptCount val="4"/>
                <c:pt idx="0">
                  <c:v>0.51707021475852366</c:v>
                </c:pt>
                <c:pt idx="1">
                  <c:v>0.17070318308506868</c:v>
                </c:pt>
                <c:pt idx="2">
                  <c:v>0.16632674658792448</c:v>
                </c:pt>
                <c:pt idx="3">
                  <c:v>0.14589985556848312</c:v>
                </c:pt>
              </c:numCache>
            </c:numRef>
          </c:val>
          <c:extLst>
            <c:ext xmlns:c16="http://schemas.microsoft.com/office/drawing/2014/chart" uri="{C3380CC4-5D6E-409C-BE32-E72D297353CC}">
              <c16:uniqueId val="{0000000C-705D-4FC1-AEDD-19E70316665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by State</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Revenue by</a:t>
            </a:r>
            <a:r>
              <a:rPr lang="en-US" b="1" baseline="0"/>
              <a:t> State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Tables'!$K$36</c:f>
              <c:strCache>
                <c:ptCount val="1"/>
                <c:pt idx="0">
                  <c:v>Total</c:v>
                </c:pt>
              </c:strCache>
            </c:strRef>
          </c:tx>
          <c:spPr>
            <a:solidFill>
              <a:schemeClr val="accent1"/>
            </a:solidFill>
            <a:ln>
              <a:noFill/>
            </a:ln>
            <a:effectLst/>
          </c:spPr>
          <c:invertIfNegative val="0"/>
          <c:cat>
            <c:strRef>
              <c:f>'Pivot Tables'!$J$37:$J$42</c:f>
              <c:strCache>
                <c:ptCount val="5"/>
                <c:pt idx="0">
                  <c:v>NJ</c:v>
                </c:pt>
                <c:pt idx="1">
                  <c:v>CA</c:v>
                </c:pt>
                <c:pt idx="2">
                  <c:v>NY</c:v>
                </c:pt>
                <c:pt idx="3">
                  <c:v>PA</c:v>
                </c:pt>
                <c:pt idx="4">
                  <c:v>TX</c:v>
                </c:pt>
              </c:strCache>
            </c:strRef>
          </c:cat>
          <c:val>
            <c:numRef>
              <c:f>'Pivot Tables'!$K$37:$K$42</c:f>
              <c:numCache>
                <c:formatCode>General</c:formatCode>
                <c:ptCount val="5"/>
                <c:pt idx="0">
                  <c:v>38428.249999999993</c:v>
                </c:pt>
                <c:pt idx="1">
                  <c:v>21145.85000000002</c:v>
                </c:pt>
                <c:pt idx="2">
                  <c:v>13521.24999999998</c:v>
                </c:pt>
                <c:pt idx="3">
                  <c:v>12622.069999999983</c:v>
                </c:pt>
                <c:pt idx="4">
                  <c:v>10854.299999999985</c:v>
                </c:pt>
              </c:numCache>
            </c:numRef>
          </c:val>
          <c:extLst>
            <c:ext xmlns:c16="http://schemas.microsoft.com/office/drawing/2014/chart" uri="{C3380CC4-5D6E-409C-BE32-E72D297353CC}">
              <c16:uniqueId val="{00000001-3DAB-45C1-85A3-8B8FBDBFFCEB}"/>
            </c:ext>
          </c:extLst>
        </c:ser>
        <c:dLbls>
          <c:showLegendKey val="0"/>
          <c:showVal val="0"/>
          <c:showCatName val="0"/>
          <c:showSerName val="0"/>
          <c:showPercent val="0"/>
          <c:showBubbleSize val="0"/>
        </c:dLbls>
        <c:gapWidth val="219"/>
        <c:overlap val="-27"/>
        <c:axId val="207749615"/>
        <c:axId val="197613039"/>
      </c:barChart>
      <c:catAx>
        <c:axId val="2077496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State</a:t>
                </a:r>
              </a:p>
            </c:rich>
          </c:tx>
          <c:layout>
            <c:manualLayout>
              <c:xMode val="edge"/>
              <c:yMode val="edge"/>
              <c:x val="0.5272961845745745"/>
              <c:y val="0.8317756882326838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3039"/>
        <c:crosses val="autoZero"/>
        <c:auto val="1"/>
        <c:lblAlgn val="ctr"/>
        <c:lblOffset val="100"/>
        <c:noMultiLvlLbl val="0"/>
      </c:catAx>
      <c:valAx>
        <c:axId val="1976130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49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over Time</c:name>
    <c:fmtId val="26"/>
  </c:pivotSource>
  <c:chart>
    <c:autoTitleDeleted val="1"/>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chemeClr val="accent1">
                  <a:lumMod val="60000"/>
                  <a:lumOff val="40000"/>
                </a:schemeClr>
              </a:gs>
              <a:gs pos="59000">
                <a:schemeClr val="accent1">
                  <a:tint val="44500"/>
                  <a:satMod val="160000"/>
                </a:schemeClr>
              </a:gs>
              <a:gs pos="100000">
                <a:schemeClr val="accent1">
                  <a:lumMod val="20000"/>
                  <a:lumOff val="80000"/>
                </a:schemeClr>
              </a:gs>
            </a:gsLst>
            <a:lin ang="5400000" scaled="1"/>
            <a:tileRect/>
          </a:gradFill>
          <a:ln w="317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tx2">
                <a:lumMod val="75000"/>
              </a:schemeClr>
            </a:solidFill>
            <a:round/>
          </a:ln>
          <a:effectLst/>
        </c:spPr>
        <c:marker>
          <c:symbol val="circle"/>
          <c:size val="5"/>
          <c:spPr>
            <a:solidFill>
              <a:schemeClr val="tx2">
                <a:lumMod val="75000"/>
              </a:schemeClr>
            </a:solidFill>
            <a:ln w="9525">
              <a:solidFill>
                <a:schemeClr val="tx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25891938558905E-2"/>
          <c:y val="0.24805339516609504"/>
          <c:w val="0.9180947061165271"/>
          <c:h val="0.45266053018417629"/>
        </c:manualLayout>
      </c:layout>
      <c:areaChart>
        <c:grouping val="standard"/>
        <c:varyColors val="0"/>
        <c:ser>
          <c:idx val="0"/>
          <c:order val="0"/>
          <c:tx>
            <c:strRef>
              <c:f>'Pivot Tables'!$K$11</c:f>
              <c:strCache>
                <c:ptCount val="1"/>
                <c:pt idx="0">
                  <c:v>Total Revenue</c:v>
                </c:pt>
              </c:strCache>
            </c:strRef>
          </c:tx>
          <c:spPr>
            <a:gradFill flip="none" rotWithShape="1">
              <a:gsLst>
                <a:gs pos="0">
                  <a:schemeClr val="accent1">
                    <a:lumMod val="60000"/>
                    <a:lumOff val="40000"/>
                  </a:schemeClr>
                </a:gs>
                <a:gs pos="59000">
                  <a:schemeClr val="accent1">
                    <a:tint val="44500"/>
                    <a:satMod val="160000"/>
                  </a:schemeClr>
                </a:gs>
                <a:gs pos="100000">
                  <a:schemeClr val="accent1">
                    <a:lumMod val="20000"/>
                    <a:lumOff val="80000"/>
                  </a:schemeClr>
                </a:gs>
              </a:gsLst>
              <a:lin ang="5400000" scaled="1"/>
              <a:tileRect/>
            </a:gradFill>
            <a:ln w="31750">
              <a:noFill/>
            </a:ln>
            <a:effectLst/>
          </c:spPr>
          <c:cat>
            <c:multiLvlStrRef>
              <c:f>'Pivot Tables'!$J$12:$J$31</c:f>
              <c:multiLvlStrCache>
                <c:ptCount val="17"/>
                <c:lvl>
                  <c:pt idx="0">
                    <c:v>January 2023</c:v>
                  </c:pt>
                  <c:pt idx="1">
                    <c:v>Febuary 2023</c:v>
                  </c:pt>
                  <c:pt idx="2">
                    <c:v>March 2023</c:v>
                  </c:pt>
                  <c:pt idx="3">
                    <c:v>April 2023</c:v>
                  </c:pt>
                  <c:pt idx="4">
                    <c:v>May 2023</c:v>
                  </c:pt>
                  <c:pt idx="5">
                    <c:v>June 2023</c:v>
                  </c:pt>
                  <c:pt idx="6">
                    <c:v>July 2023</c:v>
                  </c:pt>
                  <c:pt idx="7">
                    <c:v>August 2023</c:v>
                  </c:pt>
                  <c:pt idx="8">
                    <c:v>September 2023</c:v>
                  </c:pt>
                  <c:pt idx="9">
                    <c:v>October 2023</c:v>
                  </c:pt>
                  <c:pt idx="10">
                    <c:v>November 2023</c:v>
                  </c:pt>
                  <c:pt idx="11">
                    <c:v>December 2023</c:v>
                  </c:pt>
                  <c:pt idx="12">
                    <c:v>January 2024</c:v>
                  </c:pt>
                  <c:pt idx="13">
                    <c:v>Febuary 2024</c:v>
                  </c:pt>
                  <c:pt idx="14">
                    <c:v>March 2024</c:v>
                  </c:pt>
                  <c:pt idx="15">
                    <c:v>April 2024</c:v>
                  </c:pt>
                  <c:pt idx="16">
                    <c:v>May 2024</c:v>
                  </c:pt>
                </c:lvl>
                <c:lvl>
                  <c:pt idx="0">
                    <c:v>Year 2023</c:v>
                  </c:pt>
                  <c:pt idx="12">
                    <c:v>Year 2024</c:v>
                  </c:pt>
                </c:lvl>
              </c:multiLvlStrCache>
            </c:multiLvlStrRef>
          </c:cat>
          <c:val>
            <c:numRef>
              <c:f>'Pivot Tables'!$K$12:$K$31</c:f>
              <c:numCache>
                <c:formatCode>General</c:formatCode>
                <c:ptCount val="17"/>
                <c:pt idx="0">
                  <c:v>4449.1099999999979</c:v>
                </c:pt>
                <c:pt idx="1">
                  <c:v>3832.1799999999994</c:v>
                </c:pt>
                <c:pt idx="2">
                  <c:v>3519.9799999999982</c:v>
                </c:pt>
                <c:pt idx="3">
                  <c:v>3452.2299999999982</c:v>
                </c:pt>
                <c:pt idx="4">
                  <c:v>4292.9399999999987</c:v>
                </c:pt>
                <c:pt idx="5">
                  <c:v>3292.1499999999987</c:v>
                </c:pt>
                <c:pt idx="6">
                  <c:v>4378.9699999999984</c:v>
                </c:pt>
                <c:pt idx="7">
                  <c:v>4917.8399999999965</c:v>
                </c:pt>
                <c:pt idx="8">
                  <c:v>3781.199999999998</c:v>
                </c:pt>
                <c:pt idx="9">
                  <c:v>5401.9199999999983</c:v>
                </c:pt>
                <c:pt idx="10">
                  <c:v>3024.2199999999975</c:v>
                </c:pt>
                <c:pt idx="11">
                  <c:v>5311.8599999999969</c:v>
                </c:pt>
                <c:pt idx="12">
                  <c:v>3142.1699999999987</c:v>
                </c:pt>
                <c:pt idx="13">
                  <c:v>5664.9799999999968</c:v>
                </c:pt>
                <c:pt idx="14">
                  <c:v>4381.069999999997</c:v>
                </c:pt>
                <c:pt idx="15">
                  <c:v>4226.2499999999982</c:v>
                </c:pt>
                <c:pt idx="16">
                  <c:v>1746.6200000000001</c:v>
                </c:pt>
              </c:numCache>
            </c:numRef>
          </c:val>
          <c:extLst>
            <c:ext xmlns:c16="http://schemas.microsoft.com/office/drawing/2014/chart" uri="{C3380CC4-5D6E-409C-BE32-E72D297353CC}">
              <c16:uniqueId val="{00000000-BE1A-4377-AB55-C139AAB178D6}"/>
            </c:ext>
          </c:extLst>
        </c:ser>
        <c:dLbls>
          <c:showLegendKey val="0"/>
          <c:showVal val="0"/>
          <c:showCatName val="0"/>
          <c:showSerName val="0"/>
          <c:showPercent val="0"/>
          <c:showBubbleSize val="0"/>
        </c:dLbls>
        <c:axId val="588189888"/>
        <c:axId val="588186528"/>
      </c:areaChart>
      <c:lineChart>
        <c:grouping val="standard"/>
        <c:varyColors val="0"/>
        <c:ser>
          <c:idx val="1"/>
          <c:order val="1"/>
          <c:tx>
            <c:strRef>
              <c:f>'Pivot Tables'!$L$11</c:f>
              <c:strCache>
                <c:ptCount val="1"/>
                <c:pt idx="0">
                  <c:v>Total Revenue 2</c:v>
                </c:pt>
              </c:strCache>
            </c:strRef>
          </c:tx>
          <c:spPr>
            <a:ln w="28575" cap="rnd">
              <a:solidFill>
                <a:schemeClr val="tx2">
                  <a:lumMod val="75000"/>
                </a:schemeClr>
              </a:solidFill>
              <a:round/>
            </a:ln>
            <a:effectLst/>
          </c:spPr>
          <c:marker>
            <c:symbol val="circle"/>
            <c:size val="5"/>
            <c:spPr>
              <a:solidFill>
                <a:schemeClr val="tx2">
                  <a:lumMod val="75000"/>
                </a:schemeClr>
              </a:solidFill>
              <a:ln w="9525">
                <a:solidFill>
                  <a:schemeClr val="tx2">
                    <a:lumMod val="75000"/>
                  </a:schemeClr>
                </a:solidFill>
              </a:ln>
              <a:effectLst/>
            </c:spPr>
          </c:marker>
          <c:cat>
            <c:multiLvlStrRef>
              <c:f>'Pivot Tables'!$J$12:$J$31</c:f>
              <c:multiLvlStrCache>
                <c:ptCount val="17"/>
                <c:lvl>
                  <c:pt idx="0">
                    <c:v>January 2023</c:v>
                  </c:pt>
                  <c:pt idx="1">
                    <c:v>Febuary 2023</c:v>
                  </c:pt>
                  <c:pt idx="2">
                    <c:v>March 2023</c:v>
                  </c:pt>
                  <c:pt idx="3">
                    <c:v>April 2023</c:v>
                  </c:pt>
                  <c:pt idx="4">
                    <c:v>May 2023</c:v>
                  </c:pt>
                  <c:pt idx="5">
                    <c:v>June 2023</c:v>
                  </c:pt>
                  <c:pt idx="6">
                    <c:v>July 2023</c:v>
                  </c:pt>
                  <c:pt idx="7">
                    <c:v>August 2023</c:v>
                  </c:pt>
                  <c:pt idx="8">
                    <c:v>September 2023</c:v>
                  </c:pt>
                  <c:pt idx="9">
                    <c:v>October 2023</c:v>
                  </c:pt>
                  <c:pt idx="10">
                    <c:v>November 2023</c:v>
                  </c:pt>
                  <c:pt idx="11">
                    <c:v>December 2023</c:v>
                  </c:pt>
                  <c:pt idx="12">
                    <c:v>January 2024</c:v>
                  </c:pt>
                  <c:pt idx="13">
                    <c:v>Febuary 2024</c:v>
                  </c:pt>
                  <c:pt idx="14">
                    <c:v>March 2024</c:v>
                  </c:pt>
                  <c:pt idx="15">
                    <c:v>April 2024</c:v>
                  </c:pt>
                  <c:pt idx="16">
                    <c:v>May 2024</c:v>
                  </c:pt>
                </c:lvl>
                <c:lvl>
                  <c:pt idx="0">
                    <c:v>Year 2023</c:v>
                  </c:pt>
                  <c:pt idx="12">
                    <c:v>Year 2024</c:v>
                  </c:pt>
                </c:lvl>
              </c:multiLvlStrCache>
            </c:multiLvlStrRef>
          </c:cat>
          <c:val>
            <c:numRef>
              <c:f>'Pivot Tables'!$L$12:$L$31</c:f>
              <c:numCache>
                <c:formatCode>General</c:formatCode>
                <c:ptCount val="17"/>
                <c:pt idx="0">
                  <c:v>4449.1099999999979</c:v>
                </c:pt>
                <c:pt idx="1">
                  <c:v>3832.1799999999994</c:v>
                </c:pt>
                <c:pt idx="2">
                  <c:v>3519.9799999999982</c:v>
                </c:pt>
                <c:pt idx="3">
                  <c:v>3452.2299999999982</c:v>
                </c:pt>
                <c:pt idx="4">
                  <c:v>4292.9399999999987</c:v>
                </c:pt>
                <c:pt idx="5">
                  <c:v>3292.1499999999987</c:v>
                </c:pt>
                <c:pt idx="6">
                  <c:v>4378.9699999999984</c:v>
                </c:pt>
                <c:pt idx="7">
                  <c:v>4917.8399999999965</c:v>
                </c:pt>
                <c:pt idx="8">
                  <c:v>3781.199999999998</c:v>
                </c:pt>
                <c:pt idx="9">
                  <c:v>5401.9199999999983</c:v>
                </c:pt>
                <c:pt idx="10">
                  <c:v>3024.2199999999975</c:v>
                </c:pt>
                <c:pt idx="11">
                  <c:v>5311.8599999999969</c:v>
                </c:pt>
                <c:pt idx="12">
                  <c:v>3142.1699999999987</c:v>
                </c:pt>
                <c:pt idx="13">
                  <c:v>5664.9799999999968</c:v>
                </c:pt>
                <c:pt idx="14">
                  <c:v>4381.069999999997</c:v>
                </c:pt>
                <c:pt idx="15">
                  <c:v>4226.2499999999982</c:v>
                </c:pt>
                <c:pt idx="16">
                  <c:v>1746.6200000000001</c:v>
                </c:pt>
              </c:numCache>
            </c:numRef>
          </c:val>
          <c:smooth val="0"/>
          <c:extLst>
            <c:ext xmlns:c16="http://schemas.microsoft.com/office/drawing/2014/chart" uri="{C3380CC4-5D6E-409C-BE32-E72D297353CC}">
              <c16:uniqueId val="{00000000-FCD4-4F6D-AA41-43A57B1214FA}"/>
            </c:ext>
          </c:extLst>
        </c:ser>
        <c:dLbls>
          <c:showLegendKey val="0"/>
          <c:showVal val="0"/>
          <c:showCatName val="0"/>
          <c:showSerName val="0"/>
          <c:showPercent val="0"/>
          <c:showBubbleSize val="0"/>
        </c:dLbls>
        <c:marker val="1"/>
        <c:smooth val="0"/>
        <c:axId val="588189888"/>
        <c:axId val="588186528"/>
      </c:lineChart>
      <c:catAx>
        <c:axId val="588189888"/>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2">
                    <a:lumMod val="50000"/>
                  </a:schemeClr>
                </a:solidFill>
                <a:latin typeface="+mn-lt"/>
                <a:ea typeface="+mn-ea"/>
                <a:cs typeface="+mn-cs"/>
              </a:defRPr>
            </a:pPr>
            <a:endParaRPr lang="en-US"/>
          </a:p>
        </c:txPr>
        <c:crossAx val="588186528"/>
        <c:crosses val="autoZero"/>
        <c:auto val="1"/>
        <c:lblAlgn val="ctr"/>
        <c:lblOffset val="100"/>
        <c:noMultiLvlLbl val="0"/>
      </c:catAx>
      <c:valAx>
        <c:axId val="5881865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lumMod val="50000"/>
                  </a:schemeClr>
                </a:solidFill>
                <a:latin typeface="+mn-lt"/>
                <a:ea typeface="+mn-ea"/>
                <a:cs typeface="+mn-cs"/>
              </a:defRPr>
            </a:pPr>
            <a:endParaRPr lang="en-US"/>
          </a:p>
        </c:txPr>
        <c:crossAx val="588189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lumMod val="5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by Catagory</c:name>
    <c:fmtId val="4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34000">
                <a:srgbClr val="56759B"/>
              </a:gs>
              <a:gs pos="0">
                <a:schemeClr val="tx2">
                  <a:lumMod val="75000"/>
                </a:schemeClr>
              </a:gs>
              <a:gs pos="100000">
                <a:schemeClr val="accent1">
                  <a:lumMod val="60000"/>
                  <a:lumOff val="40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19597550306211"/>
          <c:y val="0.26226414406532522"/>
          <c:w val="0.81342368261659603"/>
          <c:h val="0.44059310294546516"/>
        </c:manualLayout>
      </c:layout>
      <c:barChart>
        <c:barDir val="col"/>
        <c:grouping val="clustered"/>
        <c:varyColors val="0"/>
        <c:ser>
          <c:idx val="0"/>
          <c:order val="0"/>
          <c:tx>
            <c:strRef>
              <c:f>'Pivot Tables'!$G$21</c:f>
              <c:strCache>
                <c:ptCount val="1"/>
                <c:pt idx="0">
                  <c:v>Total</c:v>
                </c:pt>
              </c:strCache>
            </c:strRef>
          </c:tx>
          <c:spPr>
            <a:gradFill flip="none" rotWithShape="1">
              <a:gsLst>
                <a:gs pos="34000">
                  <a:srgbClr val="56759B"/>
                </a:gs>
                <a:gs pos="0">
                  <a:schemeClr val="tx2">
                    <a:lumMod val="75000"/>
                  </a:schemeClr>
                </a:gs>
                <a:gs pos="100000">
                  <a:schemeClr val="accent1">
                    <a:lumMod val="60000"/>
                    <a:lumOff val="40000"/>
                  </a:schemeClr>
                </a:gs>
              </a:gsLst>
              <a:lin ang="5400000" scaled="1"/>
              <a:tileRect/>
            </a:gradFill>
            <a:ln>
              <a:noFill/>
            </a:ln>
            <a:effectLst/>
          </c:spPr>
          <c:invertIfNegative val="0"/>
          <c:cat>
            <c:strRef>
              <c:f>'Pivot Tables'!$F$22:$F$28</c:f>
              <c:strCache>
                <c:ptCount val="6"/>
                <c:pt idx="0">
                  <c:v>Electronics</c:v>
                </c:pt>
                <c:pt idx="1">
                  <c:v>Home</c:v>
                </c:pt>
                <c:pt idx="2">
                  <c:v>Footwear</c:v>
                </c:pt>
                <c:pt idx="3">
                  <c:v>Accessories</c:v>
                </c:pt>
                <c:pt idx="4">
                  <c:v>Apparel</c:v>
                </c:pt>
                <c:pt idx="5">
                  <c:v>Stationery</c:v>
                </c:pt>
              </c:strCache>
            </c:strRef>
          </c:cat>
          <c:val>
            <c:numRef>
              <c:f>'Pivot Tables'!$G$22:$G$28</c:f>
              <c:numCache>
                <c:formatCode>General</c:formatCode>
                <c:ptCount val="6"/>
                <c:pt idx="0">
                  <c:v>30925.020000000022</c:v>
                </c:pt>
                <c:pt idx="1">
                  <c:v>18855.239999999994</c:v>
                </c:pt>
                <c:pt idx="2">
                  <c:v>18317.709999999988</c:v>
                </c:pt>
                <c:pt idx="3">
                  <c:v>14757.539999999985</c:v>
                </c:pt>
                <c:pt idx="4">
                  <c:v>12563.519999999975</c:v>
                </c:pt>
                <c:pt idx="5">
                  <c:v>1152.6900000000014</c:v>
                </c:pt>
              </c:numCache>
            </c:numRef>
          </c:val>
          <c:extLst>
            <c:ext xmlns:c16="http://schemas.microsoft.com/office/drawing/2014/chart" uri="{C3380CC4-5D6E-409C-BE32-E72D297353CC}">
              <c16:uniqueId val="{00000000-4AA4-4685-A2C3-B2CC359DEBED}"/>
            </c:ext>
          </c:extLst>
        </c:ser>
        <c:dLbls>
          <c:showLegendKey val="0"/>
          <c:showVal val="0"/>
          <c:showCatName val="0"/>
          <c:showSerName val="0"/>
          <c:showPercent val="0"/>
          <c:showBubbleSize val="0"/>
        </c:dLbls>
        <c:gapWidth val="219"/>
        <c:overlap val="-27"/>
        <c:axId val="248331295"/>
        <c:axId val="144496847"/>
      </c:barChart>
      <c:catAx>
        <c:axId val="248331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lumMod val="50000"/>
                  </a:schemeClr>
                </a:solidFill>
                <a:latin typeface="+mn-lt"/>
                <a:ea typeface="+mn-ea"/>
                <a:cs typeface="+mn-cs"/>
              </a:defRPr>
            </a:pPr>
            <a:endParaRPr lang="en-US"/>
          </a:p>
        </c:txPr>
        <c:crossAx val="144496847"/>
        <c:crosses val="autoZero"/>
        <c:auto val="1"/>
        <c:lblAlgn val="ctr"/>
        <c:lblOffset val="100"/>
        <c:noMultiLvlLbl val="0"/>
      </c:catAx>
      <c:valAx>
        <c:axId val="1444968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lumMod val="50000"/>
                  </a:schemeClr>
                </a:solidFill>
                <a:latin typeface="+mn-lt"/>
                <a:ea typeface="+mn-ea"/>
                <a:cs typeface="+mn-cs"/>
              </a:defRPr>
            </a:pPr>
            <a:endParaRPr lang="en-US"/>
          </a:p>
        </c:txPr>
        <c:crossAx val="248331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Data Cleaning &amp; Analysis (25).xlsx]Pivot Tables!Revenue by State</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31000">
                <a:srgbClr val="56759B"/>
              </a:gs>
              <a:gs pos="0">
                <a:schemeClr val="tx2">
                  <a:lumMod val="75000"/>
                </a:schemeClr>
              </a:gs>
              <a:gs pos="100000">
                <a:schemeClr val="accent1">
                  <a:lumMod val="60000"/>
                  <a:lumOff val="40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719597550306211"/>
          <c:y val="0.26226414406532522"/>
          <c:w val="0.81342368261659603"/>
          <c:h val="0.44059310294546516"/>
        </c:manualLayout>
      </c:layout>
      <c:barChart>
        <c:barDir val="col"/>
        <c:grouping val="clustered"/>
        <c:varyColors val="0"/>
        <c:ser>
          <c:idx val="0"/>
          <c:order val="0"/>
          <c:tx>
            <c:strRef>
              <c:f>'Pivot Tables'!$K$36</c:f>
              <c:strCache>
                <c:ptCount val="1"/>
                <c:pt idx="0">
                  <c:v>Total</c:v>
                </c:pt>
              </c:strCache>
            </c:strRef>
          </c:tx>
          <c:spPr>
            <a:gradFill flip="none" rotWithShape="1">
              <a:gsLst>
                <a:gs pos="31000">
                  <a:srgbClr val="56759B"/>
                </a:gs>
                <a:gs pos="0">
                  <a:schemeClr val="tx2">
                    <a:lumMod val="75000"/>
                  </a:schemeClr>
                </a:gs>
                <a:gs pos="100000">
                  <a:schemeClr val="accent1">
                    <a:lumMod val="60000"/>
                    <a:lumOff val="40000"/>
                  </a:schemeClr>
                </a:gs>
              </a:gsLst>
              <a:lin ang="5400000" scaled="1"/>
              <a:tileRect/>
            </a:gradFill>
            <a:ln>
              <a:noFill/>
            </a:ln>
            <a:effectLst/>
          </c:spPr>
          <c:invertIfNegative val="0"/>
          <c:cat>
            <c:strRef>
              <c:f>'Pivot Tables'!$J$37:$J$42</c:f>
              <c:strCache>
                <c:ptCount val="5"/>
                <c:pt idx="0">
                  <c:v>NJ</c:v>
                </c:pt>
                <c:pt idx="1">
                  <c:v>CA</c:v>
                </c:pt>
                <c:pt idx="2">
                  <c:v>NY</c:v>
                </c:pt>
                <c:pt idx="3">
                  <c:v>PA</c:v>
                </c:pt>
                <c:pt idx="4">
                  <c:v>TX</c:v>
                </c:pt>
              </c:strCache>
            </c:strRef>
          </c:cat>
          <c:val>
            <c:numRef>
              <c:f>'Pivot Tables'!$K$37:$K$42</c:f>
              <c:numCache>
                <c:formatCode>General</c:formatCode>
                <c:ptCount val="5"/>
                <c:pt idx="0">
                  <c:v>38428.249999999993</c:v>
                </c:pt>
                <c:pt idx="1">
                  <c:v>21145.85000000002</c:v>
                </c:pt>
                <c:pt idx="2">
                  <c:v>13521.24999999998</c:v>
                </c:pt>
                <c:pt idx="3">
                  <c:v>12622.069999999983</c:v>
                </c:pt>
                <c:pt idx="4">
                  <c:v>10854.299999999985</c:v>
                </c:pt>
              </c:numCache>
            </c:numRef>
          </c:val>
          <c:extLst>
            <c:ext xmlns:c16="http://schemas.microsoft.com/office/drawing/2014/chart" uri="{C3380CC4-5D6E-409C-BE32-E72D297353CC}">
              <c16:uniqueId val="{00000000-0653-408E-AA97-1BD4190ECF9C}"/>
            </c:ext>
          </c:extLst>
        </c:ser>
        <c:dLbls>
          <c:showLegendKey val="0"/>
          <c:showVal val="0"/>
          <c:showCatName val="0"/>
          <c:showSerName val="0"/>
          <c:showPercent val="0"/>
          <c:showBubbleSize val="0"/>
        </c:dLbls>
        <c:gapWidth val="219"/>
        <c:overlap val="-27"/>
        <c:axId val="207749615"/>
        <c:axId val="197613039"/>
      </c:barChart>
      <c:catAx>
        <c:axId val="207749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lumMod val="50000"/>
                  </a:schemeClr>
                </a:solidFill>
                <a:latin typeface="+mn-lt"/>
                <a:ea typeface="+mn-ea"/>
                <a:cs typeface="+mn-cs"/>
              </a:defRPr>
            </a:pPr>
            <a:endParaRPr lang="en-US"/>
          </a:p>
        </c:txPr>
        <c:crossAx val="197613039"/>
        <c:crosses val="autoZero"/>
        <c:auto val="1"/>
        <c:lblAlgn val="ctr"/>
        <c:lblOffset val="100"/>
        <c:noMultiLvlLbl val="0"/>
      </c:catAx>
      <c:valAx>
        <c:axId val="1976130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lumMod val="50000"/>
                  </a:schemeClr>
                </a:solidFill>
                <a:latin typeface="+mn-lt"/>
                <a:ea typeface="+mn-ea"/>
                <a:cs typeface="+mn-cs"/>
              </a:defRPr>
            </a:pPr>
            <a:endParaRPr lang="en-US"/>
          </a:p>
        </c:txPr>
        <c:crossAx val="207749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xdr:col>
      <xdr:colOff>47624</xdr:colOff>
      <xdr:row>6</xdr:row>
      <xdr:rowOff>9524</xdr:rowOff>
    </xdr:from>
    <xdr:ext cx="6734176" cy="2190751"/>
    <xdr:sp macro="" textlink="">
      <xdr:nvSpPr>
        <xdr:cNvPr id="2" name="TextBox 1">
          <a:extLst>
            <a:ext uri="{FF2B5EF4-FFF2-40B4-BE49-F238E27FC236}">
              <a16:creationId xmlns:a16="http://schemas.microsoft.com/office/drawing/2014/main" id="{F7A990D4-9164-DBFF-AD33-274D926B6976}"/>
            </a:ext>
          </a:extLst>
        </xdr:cNvPr>
        <xdr:cNvSpPr txBox="1"/>
      </xdr:nvSpPr>
      <xdr:spPr>
        <a:xfrm>
          <a:off x="657224" y="1876424"/>
          <a:ext cx="6734176" cy="2190751"/>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 Headphones generate the highest product-level revenue at $18,798.12</a:t>
          </a:r>
        </a:p>
        <a:p>
          <a:r>
            <a:rPr lang="en-US" sz="1100"/>
            <a:t>-</a:t>
          </a:r>
          <a:r>
            <a:rPr lang="en-US" sz="1100" baseline="0"/>
            <a:t> </a:t>
          </a:r>
          <a:r>
            <a:rPr lang="en-US" sz="1100"/>
            <a:t>Electronics is the highest-performing category, driven primarily by headphones, which account for 89.76% of category revenue</a:t>
          </a:r>
        </a:p>
        <a:p>
          <a:r>
            <a:rPr lang="en-US" sz="1100"/>
            <a:t>-</a:t>
          </a:r>
          <a:r>
            <a:rPr lang="en-US" sz="1100" baseline="0"/>
            <a:t> </a:t>
          </a:r>
          <a:r>
            <a:rPr lang="en-US" sz="1100"/>
            <a:t>New Jersey leads all states in revenue at $24,828.14, exceeding California (the second-highest state) by approximately 15.6%</a:t>
          </a:r>
        </a:p>
        <a:p>
          <a:r>
            <a:rPr lang="en-US" sz="1100"/>
            <a:t>-</a:t>
          </a:r>
          <a:r>
            <a:rPr lang="en-US" sz="1100" baseline="0"/>
            <a:t> </a:t>
          </a:r>
          <a:r>
            <a:rPr lang="en-US" sz="1100"/>
            <a:t>Electronics is the top revenue category in New Jersey, Texas, New York, and California, while Home leads in Pennsylvania</a:t>
          </a:r>
        </a:p>
        <a:p>
          <a:r>
            <a:rPr lang="en-US" sz="1100"/>
            <a:t>-</a:t>
          </a:r>
          <a:r>
            <a:rPr lang="en-US" sz="1100" baseline="0"/>
            <a:t> </a:t>
          </a:r>
          <a:r>
            <a:rPr lang="en-US" sz="1100"/>
            <a:t>Credit cards are the dominant payment method, used in approximately 50% of all transactions</a:t>
          </a:r>
        </a:p>
        <a:p>
          <a:r>
            <a:rPr lang="en-US" sz="1100"/>
            <a:t>-</a:t>
          </a:r>
          <a:r>
            <a:rPr lang="en-US" sz="1100" baseline="0"/>
            <a:t> </a:t>
          </a:r>
          <a:r>
            <a:rPr lang="en-US" sz="1100"/>
            <a:t>Monthly revenue peaks in October 2023 ($5,251.95)</a:t>
          </a:r>
        </a:p>
        <a:p>
          <a:r>
            <a:rPr lang="en-US" sz="1100"/>
            <a:t>-</a:t>
          </a:r>
          <a:r>
            <a:rPr lang="en-US" sz="1100" baseline="0"/>
            <a:t> There is a seasonal patern that starts in September 2023, showing an increase and then decrease in trend over two months, dampening over time until it ends in March 2024</a:t>
          </a:r>
        </a:p>
      </xdr:txBody>
    </xdr:sp>
    <xdr:clientData/>
  </xdr:oneCellAnchor>
  <xdr:oneCellAnchor>
    <xdr:from>
      <xdr:col>1</xdr:col>
      <xdr:colOff>47625</xdr:colOff>
      <xdr:row>22</xdr:row>
      <xdr:rowOff>114299</xdr:rowOff>
    </xdr:from>
    <xdr:ext cx="6724650" cy="1752601"/>
    <xdr:sp macro="" textlink="">
      <xdr:nvSpPr>
        <xdr:cNvPr id="5" name="TextBox 4">
          <a:extLst>
            <a:ext uri="{FF2B5EF4-FFF2-40B4-BE49-F238E27FC236}">
              <a16:creationId xmlns:a16="http://schemas.microsoft.com/office/drawing/2014/main" id="{9387D4F3-DAC8-CFF4-9B68-264B7272BD57}"/>
            </a:ext>
          </a:extLst>
        </xdr:cNvPr>
        <xdr:cNvSpPr txBox="1"/>
      </xdr:nvSpPr>
      <xdr:spPr>
        <a:xfrm>
          <a:off x="657225" y="5029199"/>
          <a:ext cx="6724650" cy="1752601"/>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 Increase promotional activity for headphones beginning in mid-September across all states except Pennsylvania, where demand is stronger in the Home category</a:t>
          </a:r>
        </a:p>
        <a:p>
          <a:r>
            <a:rPr lang="en-US" sz="1100" baseline="0"/>
            <a:t>- Introduce or expand credit card incentives (e.g., cashback or rewards) to reinforce the most common payment behavior and potentially increase average order value</a:t>
          </a:r>
        </a:p>
        <a:p>
          <a:r>
            <a:rPr lang="en-US" sz="1100" baseline="0"/>
            <a:t>- Conduct targeted market analysis in California and New York to identify barriers to higher order volume despite strong revenue potential</a:t>
          </a:r>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tx1"/>
              </a:solidFill>
              <a:effectLst/>
              <a:latin typeface="+mn-lt"/>
              <a:ea typeface="+mn-ea"/>
              <a:cs typeface="+mn-cs"/>
            </a:rPr>
            <a:t>- Revenue</a:t>
          </a:r>
          <a:r>
            <a:rPr lang="en-US" sz="1100" baseline="0">
              <a:solidFill>
                <a:schemeClr val="tx1"/>
              </a:solidFill>
              <a:effectLst/>
              <a:latin typeface="+mn-lt"/>
              <a:ea typeface="+mn-ea"/>
              <a:cs typeface="+mn-cs"/>
            </a:rPr>
            <a:t> is highly concentrated in the Electronics category which shows a large dependency on the category. The dependency introduces potential supply chain risk so to reduce risk ensure suppliers are distributed and aim to increase demand for the Footwear category (second largest category)</a:t>
          </a:r>
          <a:endParaRPr lang="en-US">
            <a:effectLst/>
          </a:endParaRPr>
        </a:p>
        <a:p>
          <a:endParaRPr lang="en-US" sz="1100" baseline="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154862</xdr:colOff>
      <xdr:row>21</xdr:row>
      <xdr:rowOff>3643</xdr:rowOff>
    </xdr:from>
    <xdr:to>
      <xdr:col>8</xdr:col>
      <xdr:colOff>459662</xdr:colOff>
      <xdr:row>35</xdr:row>
      <xdr:rowOff>79843</xdr:rowOff>
    </xdr:to>
    <xdr:graphicFrame macro="">
      <xdr:nvGraphicFramePr>
        <xdr:cNvPr id="2" name="Chart 1">
          <a:extLst>
            <a:ext uri="{FF2B5EF4-FFF2-40B4-BE49-F238E27FC236}">
              <a16:creationId xmlns:a16="http://schemas.microsoft.com/office/drawing/2014/main" id="{A86C857D-7B4B-43E4-A64D-A0A66B41C7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514350</xdr:colOff>
      <xdr:row>3</xdr:row>
      <xdr:rowOff>47625</xdr:rowOff>
    </xdr:from>
    <xdr:to>
      <xdr:col>20</xdr:col>
      <xdr:colOff>96320</xdr:colOff>
      <xdr:row>22</xdr:row>
      <xdr:rowOff>9526</xdr:rowOff>
    </xdr:to>
    <xdr:graphicFrame macro="">
      <xdr:nvGraphicFramePr>
        <xdr:cNvPr id="3" name="Chart 2">
          <a:extLst>
            <a:ext uri="{FF2B5EF4-FFF2-40B4-BE49-F238E27FC236}">
              <a16:creationId xmlns:a16="http://schemas.microsoft.com/office/drawing/2014/main" id="{99DC0BCE-BF34-49F7-B1FE-1EF713EE6C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524411</xdr:colOff>
      <xdr:row>2</xdr:row>
      <xdr:rowOff>22689</xdr:rowOff>
    </xdr:from>
    <xdr:to>
      <xdr:col>8</xdr:col>
      <xdr:colOff>572144</xdr:colOff>
      <xdr:row>20</xdr:row>
      <xdr:rowOff>1</xdr:rowOff>
    </xdr:to>
    <xdr:graphicFrame macro="">
      <xdr:nvGraphicFramePr>
        <xdr:cNvPr id="4" name="Chart 3">
          <a:extLst>
            <a:ext uri="{FF2B5EF4-FFF2-40B4-BE49-F238E27FC236}">
              <a16:creationId xmlns:a16="http://schemas.microsoft.com/office/drawing/2014/main" id="{E7D36264-FBA9-4B65-B16F-38208BFC0D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390525</xdr:colOff>
      <xdr:row>23</xdr:row>
      <xdr:rowOff>181939</xdr:rowOff>
    </xdr:from>
    <xdr:to>
      <xdr:col>18</xdr:col>
      <xdr:colOff>10702</xdr:colOff>
      <xdr:row>39</xdr:row>
      <xdr:rowOff>76200</xdr:rowOff>
    </xdr:to>
    <xdr:graphicFrame macro="">
      <xdr:nvGraphicFramePr>
        <xdr:cNvPr id="5" name="Chart 4">
          <a:extLst>
            <a:ext uri="{FF2B5EF4-FFF2-40B4-BE49-F238E27FC236}">
              <a16:creationId xmlns:a16="http://schemas.microsoft.com/office/drawing/2014/main" id="{C054C953-5D58-4573-990F-B7B2305454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299662</xdr:colOff>
      <xdr:row>23</xdr:row>
      <xdr:rowOff>192640</xdr:rowOff>
    </xdr:from>
    <xdr:to>
      <xdr:col>26</xdr:col>
      <xdr:colOff>256854</xdr:colOff>
      <xdr:row>39</xdr:row>
      <xdr:rowOff>96320</xdr:rowOff>
    </xdr:to>
    <xdr:graphicFrame macro="">
      <xdr:nvGraphicFramePr>
        <xdr:cNvPr id="7" name="Chart 6">
          <a:extLst>
            <a:ext uri="{FF2B5EF4-FFF2-40B4-BE49-F238E27FC236}">
              <a16:creationId xmlns:a16="http://schemas.microsoft.com/office/drawing/2014/main" id="{A6D216DD-6EE6-43F3-968D-023E97BFCE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160533</xdr:colOff>
      <xdr:row>36</xdr:row>
      <xdr:rowOff>181939</xdr:rowOff>
    </xdr:from>
    <xdr:to>
      <xdr:col>9</xdr:col>
      <xdr:colOff>139128</xdr:colOff>
      <xdr:row>52</xdr:row>
      <xdr:rowOff>107023</xdr:rowOff>
    </xdr:to>
    <xdr:graphicFrame macro="">
      <xdr:nvGraphicFramePr>
        <xdr:cNvPr id="9" name="Chart 8">
          <a:extLst>
            <a:ext uri="{FF2B5EF4-FFF2-40B4-BE49-F238E27FC236}">
              <a16:creationId xmlns:a16="http://schemas.microsoft.com/office/drawing/2014/main" id="{A7FF8FCF-960D-4D13-911F-391C825B89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535112</xdr:colOff>
      <xdr:row>40</xdr:row>
      <xdr:rowOff>96320</xdr:rowOff>
    </xdr:from>
    <xdr:to>
      <xdr:col>17</xdr:col>
      <xdr:colOff>492303</xdr:colOff>
      <xdr:row>55</xdr:row>
      <xdr:rowOff>149831</xdr:rowOff>
    </xdr:to>
    <xdr:graphicFrame macro="">
      <xdr:nvGraphicFramePr>
        <xdr:cNvPr id="10" name="Chart 9">
          <a:extLst>
            <a:ext uri="{FF2B5EF4-FFF2-40B4-BE49-F238E27FC236}">
              <a16:creationId xmlns:a16="http://schemas.microsoft.com/office/drawing/2014/main" id="{04F5687A-6997-4C22-96A9-587FB9F39A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498400</xdr:colOff>
      <xdr:row>0</xdr:row>
      <xdr:rowOff>210436</xdr:rowOff>
    </xdr:from>
    <xdr:to>
      <xdr:col>17</xdr:col>
      <xdr:colOff>44301</xdr:colOff>
      <xdr:row>36</xdr:row>
      <xdr:rowOff>107156</xdr:rowOff>
    </xdr:to>
    <xdr:sp macro="" textlink="">
      <xdr:nvSpPr>
        <xdr:cNvPr id="14" name="Rectangle: Rounded Corners 13">
          <a:extLst>
            <a:ext uri="{FF2B5EF4-FFF2-40B4-BE49-F238E27FC236}">
              <a16:creationId xmlns:a16="http://schemas.microsoft.com/office/drawing/2014/main" id="{1787ABB6-622F-2985-6E66-4F18446AE4FF}"/>
            </a:ext>
          </a:extLst>
        </xdr:cNvPr>
        <xdr:cNvSpPr/>
      </xdr:nvSpPr>
      <xdr:spPr>
        <a:xfrm>
          <a:off x="498400" y="210436"/>
          <a:ext cx="16845682" cy="6885689"/>
        </a:xfrm>
        <a:prstGeom prst="round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761999</xdr:colOff>
      <xdr:row>23</xdr:row>
      <xdr:rowOff>178585</xdr:rowOff>
    </xdr:from>
    <xdr:to>
      <xdr:col>16</xdr:col>
      <xdr:colOff>309561</xdr:colOff>
      <xdr:row>35</xdr:row>
      <xdr:rowOff>35716</xdr:rowOff>
    </xdr:to>
    <xdr:sp macro="" textlink="">
      <xdr:nvSpPr>
        <xdr:cNvPr id="62" name="Rectangle: Top Corners Rounded 61">
          <a:extLst>
            <a:ext uri="{FF2B5EF4-FFF2-40B4-BE49-F238E27FC236}">
              <a16:creationId xmlns:a16="http://schemas.microsoft.com/office/drawing/2014/main" id="{0DB56C62-73F0-9050-5943-7F22FFD5C5C5}"/>
            </a:ext>
          </a:extLst>
        </xdr:cNvPr>
        <xdr:cNvSpPr/>
      </xdr:nvSpPr>
      <xdr:spPr>
        <a:xfrm rot="10800000">
          <a:off x="761999" y="4691054"/>
          <a:ext cx="16240125" cy="2143131"/>
        </a:xfrm>
        <a:prstGeom prst="round2SameRect">
          <a:avLst>
            <a:gd name="adj1" fmla="val 50000"/>
            <a:gd name="adj2" fmla="val 0"/>
          </a:avLst>
        </a:prstGeom>
        <a:gradFill flip="none" rotWithShape="1">
          <a:gsLst>
            <a:gs pos="0">
              <a:schemeClr val="tx2">
                <a:lumMod val="40000"/>
                <a:lumOff val="60000"/>
              </a:schemeClr>
            </a:gs>
            <a:gs pos="34000">
              <a:srgbClr val="B5CDEB"/>
            </a:gs>
            <a:gs pos="100000">
              <a:schemeClr val="accent1">
                <a:lumMod val="20000"/>
                <a:lumOff val="80000"/>
              </a:schemeClr>
            </a:gs>
          </a:gsLst>
          <a:lin ang="10800000" scaled="1"/>
          <a:tileRect/>
        </a:gradFill>
        <a:ln w="762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177209</xdr:colOff>
      <xdr:row>1</xdr:row>
      <xdr:rowOff>136227</xdr:rowOff>
    </xdr:from>
    <xdr:to>
      <xdr:col>9</xdr:col>
      <xdr:colOff>841744</xdr:colOff>
      <xdr:row>4</xdr:row>
      <xdr:rowOff>158379</xdr:rowOff>
    </xdr:to>
    <xdr:sp macro="" textlink="">
      <xdr:nvSpPr>
        <xdr:cNvPr id="15" name="Rectangle: Top Corners Rounded 14">
          <a:extLst>
            <a:ext uri="{FF2B5EF4-FFF2-40B4-BE49-F238E27FC236}">
              <a16:creationId xmlns:a16="http://schemas.microsoft.com/office/drawing/2014/main" id="{10263F4C-0D01-F55C-1617-1D20DB993E00}"/>
            </a:ext>
          </a:extLst>
        </xdr:cNvPr>
        <xdr:cNvSpPr/>
      </xdr:nvSpPr>
      <xdr:spPr>
        <a:xfrm>
          <a:off x="1129709" y="398165"/>
          <a:ext cx="10153816" cy="593652"/>
        </a:xfrm>
        <a:prstGeom prst="round2SameRect">
          <a:avLst>
            <a:gd name="adj1" fmla="val 50000"/>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343342</xdr:colOff>
      <xdr:row>2</xdr:row>
      <xdr:rowOff>14671</xdr:rowOff>
    </xdr:from>
    <xdr:ext cx="12216367" cy="507831"/>
    <xdr:sp macro="" textlink="">
      <xdr:nvSpPr>
        <xdr:cNvPr id="16" name="TextBox 15">
          <a:extLst>
            <a:ext uri="{FF2B5EF4-FFF2-40B4-BE49-F238E27FC236}">
              <a16:creationId xmlns:a16="http://schemas.microsoft.com/office/drawing/2014/main" id="{02E8C5BA-9C18-E581-A515-4CABE0319DC8}"/>
            </a:ext>
          </a:extLst>
        </xdr:cNvPr>
        <xdr:cNvSpPr txBox="1"/>
      </xdr:nvSpPr>
      <xdr:spPr>
        <a:xfrm>
          <a:off x="1295842" y="467109"/>
          <a:ext cx="12216367" cy="5078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2800">
              <a:solidFill>
                <a:schemeClr val="tx2">
                  <a:lumMod val="50000"/>
                </a:schemeClr>
              </a:solidFill>
              <a:latin typeface="Arial Rounded MT Bold" panose="020F0704030504030204" pitchFamily="34" charset="0"/>
            </a:rPr>
            <a:t>Retail Revenue Performance Dashboard: </a:t>
          </a:r>
          <a:r>
            <a:rPr lang="en-US" sz="1600">
              <a:solidFill>
                <a:schemeClr val="tx2">
                  <a:lumMod val="50000"/>
                </a:schemeClr>
              </a:solidFill>
              <a:effectLst/>
              <a:latin typeface="+mn-lt"/>
              <a:ea typeface="+mn-ea"/>
              <a:cs typeface="+mn-cs"/>
            </a:rPr>
            <a:t>based on 2023-2024 retail data</a:t>
          </a:r>
          <a:endParaRPr lang="en-US" sz="1600">
            <a:solidFill>
              <a:schemeClr val="tx2">
                <a:lumMod val="50000"/>
              </a:schemeClr>
            </a:solidFill>
            <a:effectLst/>
          </a:endParaRPr>
        </a:p>
      </xdr:txBody>
    </xdr:sp>
    <xdr:clientData/>
  </xdr:oneCellAnchor>
  <xdr:twoCellAnchor>
    <xdr:from>
      <xdr:col>0</xdr:col>
      <xdr:colOff>454099</xdr:colOff>
      <xdr:row>5</xdr:row>
      <xdr:rowOff>102999</xdr:rowOff>
    </xdr:from>
    <xdr:to>
      <xdr:col>11</xdr:col>
      <xdr:colOff>287966</xdr:colOff>
      <xdr:row>11</xdr:row>
      <xdr:rowOff>69773</xdr:rowOff>
    </xdr:to>
    <xdr:sp macro="" textlink="">
      <xdr:nvSpPr>
        <xdr:cNvPr id="18" name="Rectangle 17">
          <a:extLst>
            <a:ext uri="{FF2B5EF4-FFF2-40B4-BE49-F238E27FC236}">
              <a16:creationId xmlns:a16="http://schemas.microsoft.com/office/drawing/2014/main" id="{C32207F3-FE27-BBD9-B4D6-06B9A09A1143}"/>
            </a:ext>
          </a:extLst>
        </xdr:cNvPr>
        <xdr:cNvSpPr/>
      </xdr:nvSpPr>
      <xdr:spPr>
        <a:xfrm>
          <a:off x="454099" y="1126937"/>
          <a:ext cx="13490336" cy="1169305"/>
        </a:xfrm>
        <a:prstGeom prst="rect">
          <a:avLst/>
        </a:prstGeom>
        <a:gradFill flip="none" rotWithShape="1">
          <a:gsLst>
            <a:gs pos="21000">
              <a:srgbClr val="A2C0E6"/>
            </a:gs>
            <a:gs pos="0">
              <a:schemeClr val="tx2">
                <a:lumMod val="40000"/>
                <a:lumOff val="60000"/>
              </a:schemeClr>
            </a:gs>
            <a:gs pos="100000">
              <a:schemeClr val="accent1">
                <a:lumMod val="20000"/>
                <a:lumOff val="80000"/>
              </a:schemeClr>
            </a:gs>
          </a:gsLst>
          <a:lin ang="0" scaled="1"/>
          <a:tileRect/>
        </a:gradFill>
        <a:ln w="762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71437</xdr:colOff>
      <xdr:row>1</xdr:row>
      <xdr:rowOff>142874</xdr:rowOff>
    </xdr:from>
    <xdr:to>
      <xdr:col>16</xdr:col>
      <xdr:colOff>488156</xdr:colOff>
      <xdr:row>35</xdr:row>
      <xdr:rowOff>107157</xdr:rowOff>
    </xdr:to>
    <xdr:sp macro="" textlink="">
      <xdr:nvSpPr>
        <xdr:cNvPr id="17" name="Rectangle: Top Corners Rounded 16">
          <a:extLst>
            <a:ext uri="{FF2B5EF4-FFF2-40B4-BE49-F238E27FC236}">
              <a16:creationId xmlns:a16="http://schemas.microsoft.com/office/drawing/2014/main" id="{D9EB0DC1-3558-4770-73D4-84665FF78F8C}"/>
            </a:ext>
          </a:extLst>
        </xdr:cNvPr>
        <xdr:cNvSpPr/>
      </xdr:nvSpPr>
      <xdr:spPr>
        <a:xfrm>
          <a:off x="13120687" y="404812"/>
          <a:ext cx="4060032" cy="6500814"/>
        </a:xfrm>
        <a:prstGeom prst="round2SameRect">
          <a:avLst>
            <a:gd name="adj1" fmla="val 22239"/>
            <a:gd name="adj2" fmla="val 2751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908198</xdr:colOff>
      <xdr:row>6</xdr:row>
      <xdr:rowOff>60528</xdr:rowOff>
    </xdr:from>
    <xdr:to>
      <xdr:col>3</xdr:col>
      <xdr:colOff>1251541</xdr:colOff>
      <xdr:row>10</xdr:row>
      <xdr:rowOff>99675</xdr:rowOff>
    </xdr:to>
    <xdr:sp macro="" textlink="">
      <xdr:nvSpPr>
        <xdr:cNvPr id="35" name="Rectangle: Rounded Corners 34">
          <a:extLst>
            <a:ext uri="{FF2B5EF4-FFF2-40B4-BE49-F238E27FC236}">
              <a16:creationId xmlns:a16="http://schemas.microsoft.com/office/drawing/2014/main" id="{22B13738-7415-4270-995C-82F8090380D4}"/>
            </a:ext>
          </a:extLst>
        </xdr:cNvPr>
        <xdr:cNvSpPr/>
      </xdr:nvSpPr>
      <xdr:spPr>
        <a:xfrm>
          <a:off x="908198" y="1267766"/>
          <a:ext cx="2170814" cy="792287"/>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232586</xdr:colOff>
      <xdr:row>6</xdr:row>
      <xdr:rowOff>143976</xdr:rowOff>
    </xdr:from>
    <xdr:ext cx="1716716" cy="329770"/>
    <xdr:sp macro="" textlink="">
      <xdr:nvSpPr>
        <xdr:cNvPr id="19" name="TextBox 18">
          <a:extLst>
            <a:ext uri="{FF2B5EF4-FFF2-40B4-BE49-F238E27FC236}">
              <a16:creationId xmlns:a16="http://schemas.microsoft.com/office/drawing/2014/main" id="{28805F62-3071-3995-4462-15F6C779921C}"/>
            </a:ext>
          </a:extLst>
        </xdr:cNvPr>
        <xdr:cNvSpPr txBox="1"/>
      </xdr:nvSpPr>
      <xdr:spPr>
        <a:xfrm>
          <a:off x="1185086" y="1351214"/>
          <a:ext cx="1716716" cy="329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a:solidFill>
                <a:schemeClr val="tx2">
                  <a:lumMod val="50000"/>
                </a:schemeClr>
              </a:solidFill>
              <a:latin typeface="Arial Rounded MT Bold" panose="020F0704030504030204" pitchFamily="34" charset="0"/>
            </a:rPr>
            <a:t>Total</a:t>
          </a:r>
          <a:r>
            <a:rPr lang="en-US" sz="1600">
              <a:latin typeface="Arial Rounded MT Bold" panose="020F0704030504030204" pitchFamily="34" charset="0"/>
            </a:rPr>
            <a:t> Revenue:</a:t>
          </a:r>
        </a:p>
      </xdr:txBody>
    </xdr:sp>
    <xdr:clientData/>
  </xdr:oneCellAnchor>
  <xdr:oneCellAnchor>
    <xdr:from>
      <xdr:col>1</xdr:col>
      <xdr:colOff>343343</xdr:colOff>
      <xdr:row>10</xdr:row>
      <xdr:rowOff>44301</xdr:rowOff>
    </xdr:from>
    <xdr:ext cx="184731" cy="264560"/>
    <xdr:sp macro="" textlink="">
      <xdr:nvSpPr>
        <xdr:cNvPr id="21" name="TextBox 20">
          <a:extLst>
            <a:ext uri="{FF2B5EF4-FFF2-40B4-BE49-F238E27FC236}">
              <a16:creationId xmlns:a16="http://schemas.microsoft.com/office/drawing/2014/main" id="{F0FC551C-604B-1675-DE64-06B253ABF8E9}"/>
            </a:ext>
          </a:extLst>
        </xdr:cNvPr>
        <xdr:cNvSpPr txBox="1"/>
      </xdr:nvSpPr>
      <xdr:spPr>
        <a:xfrm>
          <a:off x="952500" y="2004679"/>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xdr:col>
      <xdr:colOff>487325</xdr:colOff>
      <xdr:row>8</xdr:row>
      <xdr:rowOff>66452</xdr:rowOff>
    </xdr:from>
    <xdr:ext cx="1871772" cy="311496"/>
    <xdr:sp macro="" textlink="C11">
      <xdr:nvSpPr>
        <xdr:cNvPr id="24" name="TextBox 23">
          <a:extLst>
            <a:ext uri="{FF2B5EF4-FFF2-40B4-BE49-F238E27FC236}">
              <a16:creationId xmlns:a16="http://schemas.microsoft.com/office/drawing/2014/main" id="{E7CEF83A-A3A8-42A7-C6F2-026A8131EE61}"/>
            </a:ext>
          </a:extLst>
        </xdr:cNvPr>
        <xdr:cNvSpPr txBox="1"/>
      </xdr:nvSpPr>
      <xdr:spPr>
        <a:xfrm>
          <a:off x="1439825" y="1650260"/>
          <a:ext cx="1871772"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EFC6B4E1-B219-49D8-B5C0-9400F929D5A9}" type="TxLink">
            <a:rPr lang="en-US" sz="1400" b="0" i="0" u="none" strike="noStrike">
              <a:solidFill>
                <a:schemeClr val="tx2">
                  <a:lumMod val="50000"/>
                </a:schemeClr>
              </a:solidFill>
              <a:latin typeface="Arial Rounded MT Bold"/>
            </a:rPr>
            <a:pPr/>
            <a:t>$96,571.72</a:t>
          </a:fld>
          <a:endParaRPr lang="en-US" sz="1400">
            <a:solidFill>
              <a:schemeClr val="tx2">
                <a:lumMod val="50000"/>
              </a:schemeClr>
            </a:solidFill>
          </a:endParaRPr>
        </a:p>
      </xdr:txBody>
    </xdr:sp>
    <xdr:clientData/>
  </xdr:oneCellAnchor>
  <xdr:twoCellAnchor>
    <xdr:from>
      <xdr:col>3</xdr:col>
      <xdr:colOff>1362295</xdr:colOff>
      <xdr:row>6</xdr:row>
      <xdr:rowOff>68940</xdr:rowOff>
    </xdr:from>
    <xdr:to>
      <xdr:col>5</xdr:col>
      <xdr:colOff>963575</xdr:colOff>
      <xdr:row>10</xdr:row>
      <xdr:rowOff>99675</xdr:rowOff>
    </xdr:to>
    <xdr:sp macro="" textlink="">
      <xdr:nvSpPr>
        <xdr:cNvPr id="36" name="Rectangle: Rounded Corners 35">
          <a:extLst>
            <a:ext uri="{FF2B5EF4-FFF2-40B4-BE49-F238E27FC236}">
              <a16:creationId xmlns:a16="http://schemas.microsoft.com/office/drawing/2014/main" id="{805641A3-3312-4987-B794-B6B2B47B3FF4}"/>
            </a:ext>
          </a:extLst>
        </xdr:cNvPr>
        <xdr:cNvSpPr/>
      </xdr:nvSpPr>
      <xdr:spPr>
        <a:xfrm>
          <a:off x="3189766" y="1276178"/>
          <a:ext cx="1949303" cy="78387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4</xdr:col>
      <xdr:colOff>98681</xdr:colOff>
      <xdr:row>6</xdr:row>
      <xdr:rowOff>141318</xdr:rowOff>
    </xdr:from>
    <xdr:ext cx="1716716" cy="329770"/>
    <xdr:sp macro="" textlink="">
      <xdr:nvSpPr>
        <xdr:cNvPr id="25" name="TextBox 24">
          <a:extLst>
            <a:ext uri="{FF2B5EF4-FFF2-40B4-BE49-F238E27FC236}">
              <a16:creationId xmlns:a16="http://schemas.microsoft.com/office/drawing/2014/main" id="{7C66CCF8-C8B9-453E-B1D2-56D512E0B908}"/>
            </a:ext>
          </a:extLst>
        </xdr:cNvPr>
        <xdr:cNvSpPr txBox="1"/>
      </xdr:nvSpPr>
      <xdr:spPr>
        <a:xfrm>
          <a:off x="3408619" y="1355756"/>
          <a:ext cx="1716716" cy="329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a:latin typeface="Arial Rounded MT Bold" panose="020F0704030504030204" pitchFamily="34" charset="0"/>
            </a:rPr>
            <a:t>Total </a:t>
          </a:r>
          <a:r>
            <a:rPr lang="en-US" sz="1600">
              <a:solidFill>
                <a:schemeClr val="tx2">
                  <a:lumMod val="50000"/>
                </a:schemeClr>
              </a:solidFill>
              <a:latin typeface="Arial Rounded MT Bold" panose="020F0704030504030204" pitchFamily="34" charset="0"/>
            </a:rPr>
            <a:t>Orders</a:t>
          </a:r>
          <a:r>
            <a:rPr lang="en-US" sz="1600">
              <a:latin typeface="Arial Rounded MT Bold" panose="020F0704030504030204" pitchFamily="34" charset="0"/>
            </a:rPr>
            <a:t>:</a:t>
          </a:r>
        </a:p>
      </xdr:txBody>
    </xdr:sp>
    <xdr:clientData/>
  </xdr:oneCellAnchor>
  <xdr:twoCellAnchor>
    <xdr:from>
      <xdr:col>5</xdr:col>
      <xdr:colOff>1063256</xdr:colOff>
      <xdr:row>6</xdr:row>
      <xdr:rowOff>55207</xdr:rowOff>
    </xdr:from>
    <xdr:to>
      <xdr:col>7</xdr:col>
      <xdr:colOff>2181889</xdr:colOff>
      <xdr:row>10</xdr:row>
      <xdr:rowOff>99676</xdr:rowOff>
    </xdr:to>
    <xdr:sp macro="" textlink="">
      <xdr:nvSpPr>
        <xdr:cNvPr id="38" name="Rectangle: Rounded Corners 37">
          <a:extLst>
            <a:ext uri="{FF2B5EF4-FFF2-40B4-BE49-F238E27FC236}">
              <a16:creationId xmlns:a16="http://schemas.microsoft.com/office/drawing/2014/main" id="{CAF44341-1474-4F33-AA33-81A1D90732A0}"/>
            </a:ext>
          </a:extLst>
        </xdr:cNvPr>
        <xdr:cNvSpPr/>
      </xdr:nvSpPr>
      <xdr:spPr>
        <a:xfrm>
          <a:off x="5238750" y="1262445"/>
          <a:ext cx="3544186" cy="797609"/>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5</xdr:col>
      <xdr:colOff>1323752</xdr:colOff>
      <xdr:row>6</xdr:row>
      <xdr:rowOff>149738</xdr:rowOff>
    </xdr:from>
    <xdr:ext cx="3449824" cy="329770"/>
    <xdr:sp macro="" textlink="">
      <xdr:nvSpPr>
        <xdr:cNvPr id="26" name="TextBox 25">
          <a:extLst>
            <a:ext uri="{FF2B5EF4-FFF2-40B4-BE49-F238E27FC236}">
              <a16:creationId xmlns:a16="http://schemas.microsoft.com/office/drawing/2014/main" id="{87FE852E-5028-4740-90F3-9EFE9C449917}"/>
            </a:ext>
          </a:extLst>
        </xdr:cNvPr>
        <xdr:cNvSpPr txBox="1"/>
      </xdr:nvSpPr>
      <xdr:spPr>
        <a:xfrm>
          <a:off x="5499246" y="1356976"/>
          <a:ext cx="3449824" cy="329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a:latin typeface="Arial Rounded MT Bold" panose="020F0704030504030204" pitchFamily="34" charset="0"/>
            </a:rPr>
            <a:t>Average </a:t>
          </a:r>
          <a:r>
            <a:rPr lang="en-US" sz="1600">
              <a:solidFill>
                <a:schemeClr val="tx2">
                  <a:lumMod val="50000"/>
                </a:schemeClr>
              </a:solidFill>
              <a:latin typeface="Arial Rounded MT Bold" panose="020F0704030504030204" pitchFamily="34" charset="0"/>
            </a:rPr>
            <a:t>Revenue</a:t>
          </a:r>
          <a:r>
            <a:rPr lang="en-US" sz="1600">
              <a:latin typeface="Arial Rounded MT Bold" panose="020F0704030504030204" pitchFamily="34" charset="0"/>
            </a:rPr>
            <a:t> per Order:</a:t>
          </a:r>
        </a:p>
      </xdr:txBody>
    </xdr:sp>
    <xdr:clientData/>
  </xdr:oneCellAnchor>
  <xdr:twoCellAnchor>
    <xdr:from>
      <xdr:col>7</xdr:col>
      <xdr:colOff>2345364</xdr:colOff>
      <xdr:row>6</xdr:row>
      <xdr:rowOff>74701</xdr:rowOff>
    </xdr:from>
    <xdr:to>
      <xdr:col>9</xdr:col>
      <xdr:colOff>1982529</xdr:colOff>
      <xdr:row>10</xdr:row>
      <xdr:rowOff>110752</xdr:rowOff>
    </xdr:to>
    <xdr:sp macro="" textlink="">
      <xdr:nvSpPr>
        <xdr:cNvPr id="39" name="Rectangle: Rounded Corners 38">
          <a:extLst>
            <a:ext uri="{FF2B5EF4-FFF2-40B4-BE49-F238E27FC236}">
              <a16:creationId xmlns:a16="http://schemas.microsoft.com/office/drawing/2014/main" id="{7327A786-ADD9-4F2A-97FA-BCDCA0400905}"/>
            </a:ext>
          </a:extLst>
        </xdr:cNvPr>
        <xdr:cNvSpPr/>
      </xdr:nvSpPr>
      <xdr:spPr>
        <a:xfrm>
          <a:off x="8946411" y="1281939"/>
          <a:ext cx="3480391" cy="78919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7</xdr:col>
      <xdr:colOff>2616936</xdr:colOff>
      <xdr:row>6</xdr:row>
      <xdr:rowOff>169232</xdr:rowOff>
    </xdr:from>
    <xdr:ext cx="3449824" cy="329770"/>
    <xdr:sp macro="" textlink="">
      <xdr:nvSpPr>
        <xdr:cNvPr id="27" name="TextBox 26">
          <a:extLst>
            <a:ext uri="{FF2B5EF4-FFF2-40B4-BE49-F238E27FC236}">
              <a16:creationId xmlns:a16="http://schemas.microsoft.com/office/drawing/2014/main" id="{C546233B-B718-4F94-BF0B-BA71C935BD30}"/>
            </a:ext>
          </a:extLst>
        </xdr:cNvPr>
        <xdr:cNvSpPr txBox="1"/>
      </xdr:nvSpPr>
      <xdr:spPr>
        <a:xfrm>
          <a:off x="9217983" y="1376470"/>
          <a:ext cx="3449824" cy="329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a:latin typeface="Arial Rounded MT Bold" panose="020F0704030504030204" pitchFamily="34" charset="0"/>
            </a:rPr>
            <a:t>Percent of</a:t>
          </a:r>
          <a:r>
            <a:rPr lang="en-US" sz="1600" baseline="0">
              <a:latin typeface="Arial Rounded MT Bold" panose="020F0704030504030204" pitchFamily="34" charset="0"/>
            </a:rPr>
            <a:t> Orders Canceled:</a:t>
          </a:r>
          <a:endParaRPr lang="en-US" sz="1600">
            <a:latin typeface="Arial Rounded MT Bold" panose="020F0704030504030204" pitchFamily="34" charset="0"/>
          </a:endParaRPr>
        </a:p>
      </xdr:txBody>
    </xdr:sp>
    <xdr:clientData/>
  </xdr:oneCellAnchor>
  <xdr:oneCellAnchor>
    <xdr:from>
      <xdr:col>4</xdr:col>
      <xdr:colOff>523043</xdr:colOff>
      <xdr:row>8</xdr:row>
      <xdr:rowOff>67279</xdr:rowOff>
    </xdr:from>
    <xdr:ext cx="1905000" cy="311496"/>
    <xdr:sp macro="" textlink="E11">
      <xdr:nvSpPr>
        <xdr:cNvPr id="32" name="TextBox 31">
          <a:extLst>
            <a:ext uri="{FF2B5EF4-FFF2-40B4-BE49-F238E27FC236}">
              <a16:creationId xmlns:a16="http://schemas.microsoft.com/office/drawing/2014/main" id="{6C3CCC7A-EDF4-9C95-AD47-78F5ED7987BA}"/>
            </a:ext>
          </a:extLst>
        </xdr:cNvPr>
        <xdr:cNvSpPr txBox="1"/>
      </xdr:nvSpPr>
      <xdr:spPr>
        <a:xfrm>
          <a:off x="3832981" y="1662717"/>
          <a:ext cx="1905000"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045E201B-E3F6-4554-9DA8-5FA482F767EC}" type="TxLink">
            <a:rPr lang="en-US" sz="1400" b="0" i="0" u="none" strike="noStrike">
              <a:solidFill>
                <a:schemeClr val="tx2">
                  <a:lumMod val="50000"/>
                </a:schemeClr>
              </a:solidFill>
              <a:latin typeface="Arial Rounded MT Bold"/>
              <a:ea typeface="Calibri"/>
              <a:cs typeface="Calibri"/>
            </a:rPr>
            <a:pPr/>
            <a:t>1050</a:t>
          </a:fld>
          <a:endParaRPr lang="en-US" sz="1400">
            <a:solidFill>
              <a:schemeClr val="tx2">
                <a:lumMod val="50000"/>
              </a:schemeClr>
            </a:solidFill>
          </a:endParaRPr>
        </a:p>
      </xdr:txBody>
    </xdr:sp>
    <xdr:clientData/>
  </xdr:oneCellAnchor>
  <xdr:oneCellAnchor>
    <xdr:from>
      <xdr:col>7</xdr:col>
      <xdr:colOff>-1</xdr:colOff>
      <xdr:row>8</xdr:row>
      <xdr:rowOff>88601</xdr:rowOff>
    </xdr:from>
    <xdr:ext cx="1207238" cy="465174"/>
    <xdr:sp macro="" textlink="G11">
      <xdr:nvSpPr>
        <xdr:cNvPr id="33" name="TextBox 32">
          <a:extLst>
            <a:ext uri="{FF2B5EF4-FFF2-40B4-BE49-F238E27FC236}">
              <a16:creationId xmlns:a16="http://schemas.microsoft.com/office/drawing/2014/main" id="{23FF9AC1-6BD1-F7D0-AA39-F8D16FFDAC61}"/>
            </a:ext>
          </a:extLst>
        </xdr:cNvPr>
        <xdr:cNvSpPr txBox="1"/>
      </xdr:nvSpPr>
      <xdr:spPr>
        <a:xfrm>
          <a:off x="6601046" y="1672409"/>
          <a:ext cx="1207238" cy="4651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E8E3FF04-D0D7-49E6-948C-9B79B6A22C29}" type="TxLink">
            <a:rPr lang="en-US" sz="1400" b="0" i="0" u="none" strike="noStrike">
              <a:solidFill>
                <a:schemeClr val="tx2">
                  <a:lumMod val="50000"/>
                </a:schemeClr>
              </a:solidFill>
              <a:latin typeface="Arial Rounded MT Bold" panose="020F0704030504030204" pitchFamily="34" charset="0"/>
              <a:ea typeface="Calibri"/>
              <a:cs typeface="Calibri"/>
            </a:rPr>
            <a:pPr/>
            <a:t>$120.41</a:t>
          </a:fld>
          <a:endParaRPr lang="en-US" sz="1400">
            <a:solidFill>
              <a:schemeClr val="tx2">
                <a:lumMod val="50000"/>
              </a:schemeClr>
            </a:solidFill>
            <a:latin typeface="Arial Rounded MT Bold" panose="020F0704030504030204" pitchFamily="34" charset="0"/>
          </a:endParaRPr>
        </a:p>
      </xdr:txBody>
    </xdr:sp>
    <xdr:clientData/>
  </xdr:oneCellAnchor>
  <xdr:oneCellAnchor>
    <xdr:from>
      <xdr:col>8</xdr:col>
      <xdr:colOff>897122</xdr:colOff>
      <xdr:row>8</xdr:row>
      <xdr:rowOff>110746</xdr:rowOff>
    </xdr:from>
    <xdr:ext cx="1550581" cy="631308"/>
    <xdr:sp macro="" textlink="I11">
      <xdr:nvSpPr>
        <xdr:cNvPr id="34" name="TextBox 33">
          <a:extLst>
            <a:ext uri="{FF2B5EF4-FFF2-40B4-BE49-F238E27FC236}">
              <a16:creationId xmlns:a16="http://schemas.microsoft.com/office/drawing/2014/main" id="{8F02A8C6-4381-F72F-532B-30A93EBEE606}"/>
            </a:ext>
          </a:extLst>
        </xdr:cNvPr>
        <xdr:cNvSpPr txBox="1"/>
      </xdr:nvSpPr>
      <xdr:spPr>
        <a:xfrm>
          <a:off x="10344593" y="1694554"/>
          <a:ext cx="1550581" cy="6313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842378FC-5ABC-45B7-A71C-BC04F59C2C96}" type="TxLink">
            <a:rPr lang="en-US" sz="1400" b="0" i="0" u="none" strike="noStrike">
              <a:solidFill>
                <a:schemeClr val="tx2">
                  <a:lumMod val="50000"/>
                </a:schemeClr>
              </a:solidFill>
              <a:latin typeface="Arial Rounded MT Bold"/>
            </a:rPr>
            <a:pPr/>
            <a:t>18.53%</a:t>
          </a:fld>
          <a:endParaRPr lang="en-US" sz="1400">
            <a:solidFill>
              <a:schemeClr val="tx2">
                <a:lumMod val="50000"/>
              </a:schemeClr>
            </a:solidFill>
          </a:endParaRPr>
        </a:p>
      </xdr:txBody>
    </xdr:sp>
    <xdr:clientData/>
  </xdr:oneCellAnchor>
  <xdr:twoCellAnchor>
    <xdr:from>
      <xdr:col>0</xdr:col>
      <xdr:colOff>226219</xdr:colOff>
      <xdr:row>11</xdr:row>
      <xdr:rowOff>110755</xdr:rowOff>
    </xdr:from>
    <xdr:to>
      <xdr:col>10</xdr:col>
      <xdr:colOff>121832</xdr:colOff>
      <xdr:row>22</xdr:row>
      <xdr:rowOff>77529</xdr:rowOff>
    </xdr:to>
    <xdr:graphicFrame macro="">
      <xdr:nvGraphicFramePr>
        <xdr:cNvPr id="40" name="Chart 39">
          <a:extLst>
            <a:ext uri="{FF2B5EF4-FFF2-40B4-BE49-F238E27FC236}">
              <a16:creationId xmlns:a16="http://schemas.microsoft.com/office/drawing/2014/main" id="{8DDB2A71-5755-4657-BB1B-93D5EB35BB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5</xdr:col>
      <xdr:colOff>1346515</xdr:colOff>
      <xdr:row>11</xdr:row>
      <xdr:rowOff>152565</xdr:rowOff>
    </xdr:from>
    <xdr:ext cx="2998641" cy="359457"/>
    <xdr:sp macro="" textlink="">
      <xdr:nvSpPr>
        <xdr:cNvPr id="41" name="TextBox 40">
          <a:extLst>
            <a:ext uri="{FF2B5EF4-FFF2-40B4-BE49-F238E27FC236}">
              <a16:creationId xmlns:a16="http://schemas.microsoft.com/office/drawing/2014/main" id="{FD08626B-7D15-9E12-CCC3-2C09DCCB8DFA}"/>
            </a:ext>
          </a:extLst>
        </xdr:cNvPr>
        <xdr:cNvSpPr txBox="1"/>
      </xdr:nvSpPr>
      <xdr:spPr>
        <a:xfrm>
          <a:off x="5525609" y="2379034"/>
          <a:ext cx="2998641" cy="3594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a:solidFill>
                <a:schemeClr val="tx2">
                  <a:lumMod val="50000"/>
                </a:schemeClr>
              </a:solidFill>
              <a:latin typeface="Arial Rounded MT Bold" panose="020F0704030504030204" pitchFamily="34" charset="0"/>
            </a:rPr>
            <a:t>Total Revenue Over</a:t>
          </a:r>
          <a:r>
            <a:rPr lang="en-US" sz="1800" baseline="0">
              <a:solidFill>
                <a:schemeClr val="tx2">
                  <a:lumMod val="50000"/>
                </a:schemeClr>
              </a:solidFill>
              <a:latin typeface="Arial Rounded MT Bold" panose="020F0704030504030204" pitchFamily="34" charset="0"/>
            </a:rPr>
            <a:t> Time</a:t>
          </a:r>
          <a:endParaRPr lang="en-US" sz="1800">
            <a:solidFill>
              <a:schemeClr val="tx2">
                <a:lumMod val="50000"/>
              </a:schemeClr>
            </a:solidFill>
            <a:latin typeface="Arial Rounded MT Bold" panose="020F0704030504030204" pitchFamily="34" charset="0"/>
          </a:endParaRPr>
        </a:p>
      </xdr:txBody>
    </xdr:sp>
    <xdr:clientData/>
  </xdr:oneCellAnchor>
  <xdr:oneCellAnchor>
    <xdr:from>
      <xdr:col>5</xdr:col>
      <xdr:colOff>708837</xdr:colOff>
      <xdr:row>20</xdr:row>
      <xdr:rowOff>188279</xdr:rowOff>
    </xdr:from>
    <xdr:ext cx="841744" cy="354418"/>
    <xdr:sp macro="" textlink="">
      <xdr:nvSpPr>
        <xdr:cNvPr id="42" name="TextBox 41">
          <a:extLst>
            <a:ext uri="{FF2B5EF4-FFF2-40B4-BE49-F238E27FC236}">
              <a16:creationId xmlns:a16="http://schemas.microsoft.com/office/drawing/2014/main" id="{0897E864-69F7-EE36-740A-FE5738743804}"/>
            </a:ext>
          </a:extLst>
        </xdr:cNvPr>
        <xdr:cNvSpPr txBox="1"/>
      </xdr:nvSpPr>
      <xdr:spPr>
        <a:xfrm>
          <a:off x="4884331" y="4086884"/>
          <a:ext cx="841744" cy="354418"/>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oneCellAnchor>
    <xdr:from>
      <xdr:col>9</xdr:col>
      <xdr:colOff>396062</xdr:colOff>
      <xdr:row>21</xdr:row>
      <xdr:rowOff>63793</xdr:rowOff>
    </xdr:from>
    <xdr:ext cx="841744" cy="354418"/>
    <xdr:sp macro="" textlink="">
      <xdr:nvSpPr>
        <xdr:cNvPr id="43" name="TextBox 42">
          <a:extLst>
            <a:ext uri="{FF2B5EF4-FFF2-40B4-BE49-F238E27FC236}">
              <a16:creationId xmlns:a16="http://schemas.microsoft.com/office/drawing/2014/main" id="{E6DA49B3-E488-4E22-9E41-EC075D4547EB}"/>
            </a:ext>
          </a:extLst>
        </xdr:cNvPr>
        <xdr:cNvSpPr txBox="1"/>
      </xdr:nvSpPr>
      <xdr:spPr>
        <a:xfrm>
          <a:off x="10840335" y="4150683"/>
          <a:ext cx="841744" cy="354418"/>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oneCellAnchor>
    <xdr:from>
      <xdr:col>0</xdr:col>
      <xdr:colOff>531044</xdr:colOff>
      <xdr:row>14</xdr:row>
      <xdr:rowOff>55135</xdr:rowOff>
    </xdr:from>
    <xdr:ext cx="255583" cy="784382"/>
    <xdr:sp macro="" textlink="">
      <xdr:nvSpPr>
        <xdr:cNvPr id="44" name="TextBox 43">
          <a:extLst>
            <a:ext uri="{FF2B5EF4-FFF2-40B4-BE49-F238E27FC236}">
              <a16:creationId xmlns:a16="http://schemas.microsoft.com/office/drawing/2014/main" id="{79A6C15E-7BA2-A97D-6262-1DB9FD77B7D9}"/>
            </a:ext>
          </a:extLst>
        </xdr:cNvPr>
        <xdr:cNvSpPr txBox="1"/>
      </xdr:nvSpPr>
      <xdr:spPr>
        <a:xfrm rot="16200000">
          <a:off x="266645" y="3117503"/>
          <a:ext cx="784382" cy="2555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2">
                  <a:lumMod val="50000"/>
                </a:schemeClr>
              </a:solidFill>
              <a:latin typeface="Arial Rounded MT Bold" panose="020F0704030504030204" pitchFamily="34" charset="0"/>
            </a:rPr>
            <a:t>Revenue</a:t>
          </a:r>
        </a:p>
      </xdr:txBody>
    </xdr:sp>
    <xdr:clientData/>
  </xdr:oneCellAnchor>
  <xdr:oneCellAnchor>
    <xdr:from>
      <xdr:col>7</xdr:col>
      <xdr:colOff>209436</xdr:colOff>
      <xdr:row>21</xdr:row>
      <xdr:rowOff>81796</xdr:rowOff>
    </xdr:from>
    <xdr:ext cx="519629" cy="255583"/>
    <xdr:sp macro="" textlink="">
      <xdr:nvSpPr>
        <xdr:cNvPr id="45" name="TextBox 44">
          <a:extLst>
            <a:ext uri="{FF2B5EF4-FFF2-40B4-BE49-F238E27FC236}">
              <a16:creationId xmlns:a16="http://schemas.microsoft.com/office/drawing/2014/main" id="{BC670185-6BF6-4D2F-9081-9D1C5FA98327}"/>
            </a:ext>
          </a:extLst>
        </xdr:cNvPr>
        <xdr:cNvSpPr txBox="1"/>
      </xdr:nvSpPr>
      <xdr:spPr>
        <a:xfrm>
          <a:off x="6805499" y="4213265"/>
          <a:ext cx="519629" cy="2555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2">
                  <a:lumMod val="50000"/>
                </a:schemeClr>
              </a:solidFill>
              <a:latin typeface="Arial Rounded MT Bold" panose="020F0704030504030204" pitchFamily="34" charset="0"/>
            </a:rPr>
            <a:t>Time</a:t>
          </a:r>
        </a:p>
      </xdr:txBody>
    </xdr:sp>
    <xdr:clientData/>
  </xdr:oneCellAnchor>
  <xdr:twoCellAnchor>
    <xdr:from>
      <xdr:col>1</xdr:col>
      <xdr:colOff>531629</xdr:colOff>
      <xdr:row>23</xdr:row>
      <xdr:rowOff>23813</xdr:rowOff>
    </xdr:from>
    <xdr:to>
      <xdr:col>6</xdr:col>
      <xdr:colOff>269398</xdr:colOff>
      <xdr:row>38</xdr:row>
      <xdr:rowOff>12179</xdr:rowOff>
    </xdr:to>
    <xdr:graphicFrame macro="">
      <xdr:nvGraphicFramePr>
        <xdr:cNvPr id="46" name="Chart 45">
          <a:extLst>
            <a:ext uri="{FF2B5EF4-FFF2-40B4-BE49-F238E27FC236}">
              <a16:creationId xmlns:a16="http://schemas.microsoft.com/office/drawing/2014/main" id="{5CBEDD7D-6ED2-4A96-AEA6-C7C0DE5A48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1295841</xdr:colOff>
      <xdr:row>23</xdr:row>
      <xdr:rowOff>23812</xdr:rowOff>
    </xdr:from>
    <xdr:to>
      <xdr:col>9</xdr:col>
      <xdr:colOff>2207877</xdr:colOff>
      <xdr:row>38</xdr:row>
      <xdr:rowOff>63129</xdr:rowOff>
    </xdr:to>
    <xdr:graphicFrame macro="">
      <xdr:nvGraphicFramePr>
        <xdr:cNvPr id="47" name="Chart 46">
          <a:extLst>
            <a:ext uri="{FF2B5EF4-FFF2-40B4-BE49-F238E27FC236}">
              <a16:creationId xmlns:a16="http://schemas.microsoft.com/office/drawing/2014/main" id="{68B9011C-259E-40D6-8C37-964160CC0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355251</xdr:colOff>
      <xdr:row>3</xdr:row>
      <xdr:rowOff>88605</xdr:rowOff>
    </xdr:from>
    <xdr:to>
      <xdr:col>12</xdr:col>
      <xdr:colOff>599977</xdr:colOff>
      <xdr:row>11</xdr:row>
      <xdr:rowOff>98741</xdr:rowOff>
    </xdr:to>
    <mc:AlternateContent xmlns:mc="http://schemas.openxmlformats.org/markup-compatibility/2006" xmlns:a14="http://schemas.microsoft.com/office/drawing/2010/main">
      <mc:Choice Requires="a14">
        <xdr:graphicFrame macro="">
          <xdr:nvGraphicFramePr>
            <xdr:cNvPr id="48" name="order date  1">
              <a:extLst>
                <a:ext uri="{FF2B5EF4-FFF2-40B4-BE49-F238E27FC236}">
                  <a16:creationId xmlns:a16="http://schemas.microsoft.com/office/drawing/2014/main" id="{CD405E0B-C92A-4D33-8951-2DA365202A47}"/>
                </a:ext>
              </a:extLst>
            </xdr:cNvPr>
            <xdr:cNvGraphicFramePr/>
          </xdr:nvGraphicFramePr>
          <xdr:xfrm>
            <a:off x="0" y="0"/>
            <a:ext cx="0" cy="0"/>
          </xdr:xfrm>
          <a:graphic>
            <a:graphicData uri="http://schemas.microsoft.com/office/drawing/2010/slicer">
              <sle:slicer xmlns:sle="http://schemas.microsoft.com/office/drawing/2010/slicer" name="order date  1"/>
            </a:graphicData>
          </a:graphic>
        </xdr:graphicFrame>
      </mc:Choice>
      <mc:Fallback xmlns="">
        <xdr:sp macro="" textlink="">
          <xdr:nvSpPr>
            <xdr:cNvPr id="0" name=""/>
            <xdr:cNvSpPr>
              <a:spLocks noTextEdit="1"/>
            </xdr:cNvSpPr>
          </xdr:nvSpPr>
          <xdr:spPr>
            <a:xfrm>
              <a:off x="13404501" y="731543"/>
              <a:ext cx="1459164" cy="1593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77529</xdr:colOff>
      <xdr:row>3</xdr:row>
      <xdr:rowOff>99680</xdr:rowOff>
    </xdr:from>
    <xdr:to>
      <xdr:col>16</xdr:col>
      <xdr:colOff>67019</xdr:colOff>
      <xdr:row>11</xdr:row>
      <xdr:rowOff>121572</xdr:rowOff>
    </xdr:to>
    <mc:AlternateContent xmlns:mc="http://schemas.openxmlformats.org/markup-compatibility/2006" xmlns:a14="http://schemas.microsoft.com/office/drawing/2010/main">
      <mc:Choice Requires="a14">
        <xdr:graphicFrame macro="">
          <xdr:nvGraphicFramePr>
            <xdr:cNvPr id="49" name="Payment Method 1">
              <a:extLst>
                <a:ext uri="{FF2B5EF4-FFF2-40B4-BE49-F238E27FC236}">
                  <a16:creationId xmlns:a16="http://schemas.microsoft.com/office/drawing/2014/main" id="{C5B2EB2E-4F8D-4D6C-9009-09A924D85425}"/>
                </a:ext>
              </a:extLst>
            </xdr:cNvPr>
            <xdr:cNvGraphicFramePr/>
          </xdr:nvGraphicFramePr>
          <xdr:xfrm>
            <a:off x="0" y="0"/>
            <a:ext cx="0" cy="0"/>
          </xdr:xfrm>
          <a:graphic>
            <a:graphicData uri="http://schemas.microsoft.com/office/drawing/2010/slicer">
              <sle:slicer xmlns:sle="http://schemas.microsoft.com/office/drawing/2010/slicer" name="Payment Method 1"/>
            </a:graphicData>
          </a:graphic>
        </xdr:graphicFrame>
      </mc:Choice>
      <mc:Fallback xmlns="">
        <xdr:sp macro="" textlink="">
          <xdr:nvSpPr>
            <xdr:cNvPr id="0" name=""/>
            <xdr:cNvSpPr>
              <a:spLocks noTextEdit="1"/>
            </xdr:cNvSpPr>
          </xdr:nvSpPr>
          <xdr:spPr>
            <a:xfrm>
              <a:off x="14948435" y="742618"/>
              <a:ext cx="1811147" cy="16054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365494</xdr:colOff>
      <xdr:row>12</xdr:row>
      <xdr:rowOff>22152</xdr:rowOff>
    </xdr:from>
    <xdr:to>
      <xdr:col>13</xdr:col>
      <xdr:colOff>380</xdr:colOff>
      <xdr:row>21</xdr:row>
      <xdr:rowOff>82745</xdr:rowOff>
    </xdr:to>
    <mc:AlternateContent xmlns:mc="http://schemas.openxmlformats.org/markup-compatibility/2006" xmlns:a14="http://schemas.microsoft.com/office/drawing/2010/main">
      <mc:Choice Requires="a14">
        <xdr:graphicFrame macro="">
          <xdr:nvGraphicFramePr>
            <xdr:cNvPr id="50" name="Ship State 1">
              <a:extLst>
                <a:ext uri="{FF2B5EF4-FFF2-40B4-BE49-F238E27FC236}">
                  <a16:creationId xmlns:a16="http://schemas.microsoft.com/office/drawing/2014/main" id="{2C8115C8-A039-44FE-B024-7DAF68740AE6}"/>
                </a:ext>
              </a:extLst>
            </xdr:cNvPr>
            <xdr:cNvGraphicFramePr/>
          </xdr:nvGraphicFramePr>
          <xdr:xfrm>
            <a:off x="0" y="0"/>
            <a:ext cx="0" cy="0"/>
          </xdr:xfrm>
          <a:graphic>
            <a:graphicData uri="http://schemas.microsoft.com/office/drawing/2010/slicer">
              <sle:slicer xmlns:sle="http://schemas.microsoft.com/office/drawing/2010/slicer" name="Ship State 1"/>
            </a:graphicData>
          </a:graphic>
        </xdr:graphicFrame>
      </mc:Choice>
      <mc:Fallback xmlns="">
        <xdr:sp macro="" textlink="">
          <xdr:nvSpPr>
            <xdr:cNvPr id="0" name=""/>
            <xdr:cNvSpPr>
              <a:spLocks noTextEdit="1"/>
            </xdr:cNvSpPr>
          </xdr:nvSpPr>
          <xdr:spPr>
            <a:xfrm>
              <a:off x="13414744" y="2439121"/>
              <a:ext cx="1456542" cy="17750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88604</xdr:colOff>
      <xdr:row>12</xdr:row>
      <xdr:rowOff>44301</xdr:rowOff>
    </xdr:from>
    <xdr:to>
      <xdr:col>16</xdr:col>
      <xdr:colOff>89933</xdr:colOff>
      <xdr:row>21</xdr:row>
      <xdr:rowOff>110111</xdr:rowOff>
    </xdr:to>
    <mc:AlternateContent xmlns:mc="http://schemas.openxmlformats.org/markup-compatibility/2006" xmlns:a14="http://schemas.microsoft.com/office/drawing/2010/main">
      <mc:Choice Requires="a14">
        <xdr:graphicFrame macro="">
          <xdr:nvGraphicFramePr>
            <xdr:cNvPr id="52" name="Order status 1">
              <a:extLst>
                <a:ext uri="{FF2B5EF4-FFF2-40B4-BE49-F238E27FC236}">
                  <a16:creationId xmlns:a16="http://schemas.microsoft.com/office/drawing/2014/main" id="{8CA50608-6140-4EB3-A9D3-38BA473205AA}"/>
                </a:ext>
              </a:extLst>
            </xdr:cNvPr>
            <xdr:cNvGraphicFramePr/>
          </xdr:nvGraphicFramePr>
          <xdr:xfrm>
            <a:off x="0" y="0"/>
            <a:ext cx="0" cy="0"/>
          </xdr:xfrm>
          <a:graphic>
            <a:graphicData uri="http://schemas.microsoft.com/office/drawing/2010/slicer">
              <sle:slicer xmlns:sle="http://schemas.microsoft.com/office/drawing/2010/slicer" name="Order status 1"/>
            </a:graphicData>
          </a:graphic>
        </xdr:graphicFrame>
      </mc:Choice>
      <mc:Fallback xmlns="">
        <xdr:sp macro="" textlink="">
          <xdr:nvSpPr>
            <xdr:cNvPr id="0" name=""/>
            <xdr:cNvSpPr>
              <a:spLocks noTextEdit="1"/>
            </xdr:cNvSpPr>
          </xdr:nvSpPr>
          <xdr:spPr>
            <a:xfrm>
              <a:off x="14959510" y="2461270"/>
              <a:ext cx="1822986" cy="178031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365495</xdr:colOff>
      <xdr:row>21</xdr:row>
      <xdr:rowOff>177209</xdr:rowOff>
    </xdr:from>
    <xdr:to>
      <xdr:col>12</xdr:col>
      <xdr:colOff>602328</xdr:colOff>
      <xdr:row>32</xdr:row>
      <xdr:rowOff>182806</xdr:rowOff>
    </xdr:to>
    <mc:AlternateContent xmlns:mc="http://schemas.openxmlformats.org/markup-compatibility/2006" xmlns:a14="http://schemas.microsoft.com/office/drawing/2010/main">
      <mc:Choice Requires="a14">
        <xdr:graphicFrame macro="">
          <xdr:nvGraphicFramePr>
            <xdr:cNvPr id="53" name="Category 1">
              <a:extLst>
                <a:ext uri="{FF2B5EF4-FFF2-40B4-BE49-F238E27FC236}">
                  <a16:creationId xmlns:a16="http://schemas.microsoft.com/office/drawing/2014/main" id="{44A8DFA8-7186-4606-93FF-A11AC327484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3414745" y="4308678"/>
              <a:ext cx="1451271" cy="21010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13</xdr:col>
      <xdr:colOff>155058</xdr:colOff>
      <xdr:row>19</xdr:row>
      <xdr:rowOff>95252</xdr:rowOff>
    </xdr:from>
    <xdr:ext cx="1904723" cy="2976561"/>
    <xdr:sp macro="" textlink="">
      <xdr:nvSpPr>
        <xdr:cNvPr id="59" name="TextBox 58">
          <a:extLst>
            <a:ext uri="{FF2B5EF4-FFF2-40B4-BE49-F238E27FC236}">
              <a16:creationId xmlns:a16="http://schemas.microsoft.com/office/drawing/2014/main" id="{227E06D7-F276-187E-632D-50ACA2A19E1F}"/>
            </a:ext>
          </a:extLst>
        </xdr:cNvPr>
        <xdr:cNvSpPr txBox="1"/>
      </xdr:nvSpPr>
      <xdr:spPr>
        <a:xfrm>
          <a:off x="15025964" y="3845721"/>
          <a:ext cx="1904723" cy="29765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600" b="1">
              <a:solidFill>
                <a:schemeClr val="tx2">
                  <a:lumMod val="50000"/>
                </a:schemeClr>
              </a:solidFill>
              <a:effectLst/>
              <a:latin typeface="Arial Rounded MT Bold" panose="020F0704030504030204" pitchFamily="34" charset="0"/>
              <a:ea typeface="+mn-ea"/>
              <a:cs typeface="+mn-cs"/>
            </a:rPr>
            <a:t>Insights:</a:t>
          </a:r>
          <a:endParaRPr lang="en-US" sz="1600">
            <a:solidFill>
              <a:schemeClr val="tx2">
                <a:lumMod val="50000"/>
              </a:schemeClr>
            </a:solidFill>
            <a:effectLst/>
            <a:latin typeface="Arial Rounded MT Bold" panose="020F0704030504030204" pitchFamily="34" charset="0"/>
          </a:endParaRPr>
        </a:p>
        <a:p>
          <a:r>
            <a:rPr lang="en-US" sz="1200">
              <a:solidFill>
                <a:schemeClr val="tx2">
                  <a:lumMod val="50000"/>
                </a:schemeClr>
              </a:solidFill>
              <a:effectLst/>
              <a:latin typeface="Arial Rounded MT Bold" panose="020F0704030504030204" pitchFamily="34" charset="0"/>
              <a:ea typeface="+mn-ea"/>
              <a:cs typeface="+mn-cs"/>
            </a:rPr>
            <a:t>- Electronics is the top revenue-generating category across the business</a:t>
          </a:r>
          <a:endParaRPr lang="en-US" sz="1200">
            <a:solidFill>
              <a:schemeClr val="tx2">
                <a:lumMod val="50000"/>
              </a:schemeClr>
            </a:solidFill>
            <a:effectLst/>
            <a:latin typeface="Arial Rounded MT Bold" panose="020F0704030504030204" pitchFamily="34" charset="0"/>
          </a:endParaRPr>
        </a:p>
        <a:p>
          <a:r>
            <a:rPr lang="en-US" sz="1200">
              <a:solidFill>
                <a:schemeClr val="tx2">
                  <a:lumMod val="50000"/>
                </a:schemeClr>
              </a:solidFill>
              <a:effectLst/>
              <a:latin typeface="Arial Rounded MT Bold" panose="020F0704030504030204" pitchFamily="34" charset="0"/>
              <a:ea typeface="+mn-ea"/>
              <a:cs typeface="+mn-cs"/>
            </a:rPr>
            <a:t>- New Jersey is the highest contributing state by total revenue</a:t>
          </a:r>
          <a:endParaRPr lang="en-US" sz="1200">
            <a:solidFill>
              <a:schemeClr val="tx2">
                <a:lumMod val="50000"/>
              </a:schemeClr>
            </a:solidFill>
            <a:effectLst/>
            <a:latin typeface="Arial Rounded MT Bold" panose="020F0704030504030204" pitchFamily="34" charset="0"/>
          </a:endParaRPr>
        </a:p>
        <a:p>
          <a:r>
            <a:rPr lang="en-US" sz="1200" baseline="0">
              <a:solidFill>
                <a:schemeClr val="tx2">
                  <a:lumMod val="50000"/>
                </a:schemeClr>
              </a:solidFill>
              <a:effectLst/>
              <a:latin typeface="Arial Rounded MT Bold" panose="020F0704030504030204" pitchFamily="34" charset="0"/>
              <a:ea typeface="+mn-ea"/>
              <a:cs typeface="+mn-cs"/>
            </a:rPr>
            <a:t>Revenue shows a mild seasonal pattern, peaking in fall 2023 and dampening by early 2024</a:t>
          </a:r>
          <a:endParaRPr lang="en-US" sz="1200">
            <a:solidFill>
              <a:schemeClr val="tx2">
                <a:lumMod val="50000"/>
              </a:schemeClr>
            </a:solidFill>
            <a:effectLst/>
            <a:latin typeface="Arial Rounded MT Bold" panose="020F0704030504030204" pitchFamily="34" charset="0"/>
          </a:endParaRPr>
        </a:p>
        <a:p>
          <a:endParaRPr lang="en-US" sz="1100"/>
        </a:p>
      </xdr:txBody>
    </xdr:sp>
    <xdr:clientData/>
  </xdr:oneCellAnchor>
  <xdr:oneCellAnchor>
    <xdr:from>
      <xdr:col>3</xdr:col>
      <xdr:colOff>664258</xdr:colOff>
      <xdr:row>24</xdr:row>
      <xdr:rowOff>70605</xdr:rowOff>
    </xdr:from>
    <xdr:ext cx="3210366" cy="359457"/>
    <xdr:sp macro="" textlink="">
      <xdr:nvSpPr>
        <xdr:cNvPr id="63" name="TextBox 62">
          <a:extLst>
            <a:ext uri="{FF2B5EF4-FFF2-40B4-BE49-F238E27FC236}">
              <a16:creationId xmlns:a16="http://schemas.microsoft.com/office/drawing/2014/main" id="{66BEDD1B-7DAE-4B47-98EA-F8F7BCF1F5F2}"/>
            </a:ext>
          </a:extLst>
        </xdr:cNvPr>
        <xdr:cNvSpPr txBox="1"/>
      </xdr:nvSpPr>
      <xdr:spPr>
        <a:xfrm>
          <a:off x="2485914" y="4773574"/>
          <a:ext cx="3210366" cy="3594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800">
              <a:solidFill>
                <a:schemeClr val="tx2">
                  <a:lumMod val="50000"/>
                </a:schemeClr>
              </a:solidFill>
              <a:latin typeface="Arial Rounded MT Bold" panose="020F0704030504030204" pitchFamily="34" charset="0"/>
            </a:rPr>
            <a:t>Total Revenue by Category</a:t>
          </a:r>
        </a:p>
      </xdr:txBody>
    </xdr:sp>
    <xdr:clientData/>
  </xdr:oneCellAnchor>
  <xdr:oneCellAnchor>
    <xdr:from>
      <xdr:col>7</xdr:col>
      <xdr:colOff>2614500</xdr:colOff>
      <xdr:row>24</xdr:row>
      <xdr:rowOff>44410</xdr:rowOff>
    </xdr:from>
    <xdr:ext cx="2945717" cy="359457"/>
    <xdr:sp macro="" textlink="">
      <xdr:nvSpPr>
        <xdr:cNvPr id="64" name="TextBox 63">
          <a:extLst>
            <a:ext uri="{FF2B5EF4-FFF2-40B4-BE49-F238E27FC236}">
              <a16:creationId xmlns:a16="http://schemas.microsoft.com/office/drawing/2014/main" id="{9A341B9A-FA90-4352-8C73-C13145A464E1}"/>
            </a:ext>
          </a:extLst>
        </xdr:cNvPr>
        <xdr:cNvSpPr txBox="1"/>
      </xdr:nvSpPr>
      <xdr:spPr>
        <a:xfrm>
          <a:off x="9210563" y="4747379"/>
          <a:ext cx="2945717" cy="3594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800">
              <a:solidFill>
                <a:schemeClr val="tx2">
                  <a:lumMod val="50000"/>
                </a:schemeClr>
              </a:solidFill>
              <a:latin typeface="Arial Rounded MT Bold" panose="020F0704030504030204" pitchFamily="34" charset="0"/>
            </a:rPr>
            <a:t>Total Revenue by State</a:t>
          </a:r>
        </a:p>
      </xdr:txBody>
    </xdr:sp>
    <xdr:clientData/>
  </xdr:oneCellAnchor>
  <xdr:oneCellAnchor>
    <xdr:from>
      <xdr:col>1</xdr:col>
      <xdr:colOff>519130</xdr:colOff>
      <xdr:row>28</xdr:row>
      <xdr:rowOff>11934</xdr:rowOff>
    </xdr:from>
    <xdr:ext cx="255583" cy="784382"/>
    <xdr:sp macro="" textlink="">
      <xdr:nvSpPr>
        <xdr:cNvPr id="65" name="TextBox 64">
          <a:extLst>
            <a:ext uri="{FF2B5EF4-FFF2-40B4-BE49-F238E27FC236}">
              <a16:creationId xmlns:a16="http://schemas.microsoft.com/office/drawing/2014/main" id="{616A4507-AC16-45FA-9F39-56D9E973DEBD}"/>
            </a:ext>
          </a:extLst>
        </xdr:cNvPr>
        <xdr:cNvSpPr txBox="1"/>
      </xdr:nvSpPr>
      <xdr:spPr>
        <a:xfrm rot="16200000">
          <a:off x="1207231" y="5741302"/>
          <a:ext cx="784382" cy="2555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2">
                  <a:lumMod val="50000"/>
                </a:schemeClr>
              </a:solidFill>
              <a:latin typeface="Arial Rounded MT Bold" panose="020F0704030504030204" pitchFamily="34" charset="0"/>
            </a:rPr>
            <a:t>Revenue</a:t>
          </a:r>
        </a:p>
      </xdr:txBody>
    </xdr:sp>
    <xdr:clientData/>
  </xdr:oneCellAnchor>
  <xdr:oneCellAnchor>
    <xdr:from>
      <xdr:col>7</xdr:col>
      <xdr:colOff>1290628</xdr:colOff>
      <xdr:row>27</xdr:row>
      <xdr:rowOff>188150</xdr:rowOff>
    </xdr:from>
    <xdr:ext cx="255583" cy="784382"/>
    <xdr:sp macro="" textlink="">
      <xdr:nvSpPr>
        <xdr:cNvPr id="66" name="TextBox 65">
          <a:extLst>
            <a:ext uri="{FF2B5EF4-FFF2-40B4-BE49-F238E27FC236}">
              <a16:creationId xmlns:a16="http://schemas.microsoft.com/office/drawing/2014/main" id="{2917E25D-F1AC-4CAC-BEEC-763EFD3704F8}"/>
            </a:ext>
          </a:extLst>
        </xdr:cNvPr>
        <xdr:cNvSpPr txBox="1"/>
      </xdr:nvSpPr>
      <xdr:spPr>
        <a:xfrm rot="16200000">
          <a:off x="7622292" y="5727018"/>
          <a:ext cx="784382" cy="2555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tx2">
                  <a:lumMod val="50000"/>
                </a:schemeClr>
              </a:solidFill>
              <a:latin typeface="Arial Rounded MT Bold" panose="020F0704030504030204" pitchFamily="34" charset="0"/>
            </a:rPr>
            <a:t>Revenue</a:t>
          </a:r>
        </a:p>
      </xdr:txBody>
    </xdr:sp>
    <xdr:clientData/>
  </xdr:oneCellAnchor>
  <xdr:twoCellAnchor>
    <xdr:from>
      <xdr:col>7</xdr:col>
      <xdr:colOff>190499</xdr:colOff>
      <xdr:row>23</xdr:row>
      <xdr:rowOff>83342</xdr:rowOff>
    </xdr:from>
    <xdr:to>
      <xdr:col>7</xdr:col>
      <xdr:colOff>690563</xdr:colOff>
      <xdr:row>36</xdr:row>
      <xdr:rowOff>0</xdr:rowOff>
    </xdr:to>
    <xdr:sp macro="" textlink="">
      <xdr:nvSpPr>
        <xdr:cNvPr id="67" name="Rectangle 66">
          <a:extLst>
            <a:ext uri="{FF2B5EF4-FFF2-40B4-BE49-F238E27FC236}">
              <a16:creationId xmlns:a16="http://schemas.microsoft.com/office/drawing/2014/main" id="{7DCED3C1-15A7-2BA9-7546-0389A08782EE}"/>
            </a:ext>
          </a:extLst>
        </xdr:cNvPr>
        <xdr:cNvSpPr/>
      </xdr:nvSpPr>
      <xdr:spPr>
        <a:xfrm>
          <a:off x="6786562" y="4595811"/>
          <a:ext cx="500064" cy="2393158"/>
        </a:xfrm>
        <a:prstGeom prst="rect">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723899</xdr:colOff>
      <xdr:row>23</xdr:row>
      <xdr:rowOff>176212</xdr:rowOff>
    </xdr:from>
    <xdr:to>
      <xdr:col>7</xdr:col>
      <xdr:colOff>769618</xdr:colOff>
      <xdr:row>35</xdr:row>
      <xdr:rowOff>33337</xdr:rowOff>
    </xdr:to>
    <xdr:sp macro="" textlink="">
      <xdr:nvSpPr>
        <xdr:cNvPr id="69" name="Flowchart: Process 68">
          <a:extLst>
            <a:ext uri="{FF2B5EF4-FFF2-40B4-BE49-F238E27FC236}">
              <a16:creationId xmlns:a16="http://schemas.microsoft.com/office/drawing/2014/main" id="{21F43FF0-543F-4D05-AE48-51BF35D6F532}"/>
            </a:ext>
          </a:extLst>
        </xdr:cNvPr>
        <xdr:cNvSpPr/>
      </xdr:nvSpPr>
      <xdr:spPr>
        <a:xfrm>
          <a:off x="7319962" y="4688681"/>
          <a:ext cx="45719" cy="2143125"/>
        </a:xfrm>
        <a:prstGeom prst="flowChartProcess">
          <a:avLst/>
        </a:prstGeom>
        <a:noFill/>
        <a:ln w="762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132873</xdr:colOff>
      <xdr:row>23</xdr:row>
      <xdr:rowOff>178593</xdr:rowOff>
    </xdr:from>
    <xdr:to>
      <xdr:col>7</xdr:col>
      <xdr:colOff>178592</xdr:colOff>
      <xdr:row>35</xdr:row>
      <xdr:rowOff>35718</xdr:rowOff>
    </xdr:to>
    <xdr:sp macro="" textlink="">
      <xdr:nvSpPr>
        <xdr:cNvPr id="68" name="Flowchart: Process 67">
          <a:extLst>
            <a:ext uri="{FF2B5EF4-FFF2-40B4-BE49-F238E27FC236}">
              <a16:creationId xmlns:a16="http://schemas.microsoft.com/office/drawing/2014/main" id="{B80A0908-EE19-7D7C-1830-297610A512CF}"/>
            </a:ext>
          </a:extLst>
        </xdr:cNvPr>
        <xdr:cNvSpPr/>
      </xdr:nvSpPr>
      <xdr:spPr>
        <a:xfrm>
          <a:off x="6728936" y="4691062"/>
          <a:ext cx="45719" cy="2143125"/>
        </a:xfrm>
        <a:prstGeom prst="flowChartProcess">
          <a:avLst/>
        </a:prstGeom>
        <a:noFill/>
        <a:ln w="762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ika Gopi" refreshedDate="46017.853936921296" createdVersion="8" refreshedVersion="8" minRefreshableVersion="3" recordCount="1050" xr:uid="{AA0DA330-5502-437B-97A0-7D579294D67D}">
  <cacheSource type="worksheet">
    <worksheetSource name="Table1"/>
  </cacheSource>
  <cacheFields count="16">
    <cacheField name="Order ID" numFmtId="0">
      <sharedItems containsSemiMixedTypes="0" containsString="0" containsNumber="1" containsInteger="1" minValue="1000" maxValue="2049" count="1050">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sharedItems>
    </cacheField>
    <cacheField name="order date " numFmtId="14">
      <sharedItems containsDate="1" containsMixedTypes="1" minDate="2023-01-01T00:00:00" maxDate="2024-05-15T00:00:00" count="379">
        <d v="2023-03-03T00:00:00"/>
        <d v="2023-03-06T00:00:00"/>
        <d v="2023-03-29T00:00:00"/>
        <d v="2023-05-16T00:00:00"/>
        <d v="2024-03-02T00:00:00"/>
        <d v="2024-04-28T00:00:00"/>
        <d v="2024-03-15T00:00:00"/>
        <s v="N/A"/>
        <d v="2024-04-06T00:00:00"/>
        <d v="2023-10-28T00:00:00"/>
        <d v="2023-06-10T00:00:00"/>
        <d v="2023-07-03T00:00:00"/>
        <d v="2024-05-11T00:00:00"/>
        <d v="2023-03-09T00:00:00"/>
        <d v="2023-03-21T00:00:00"/>
        <d v="2024-04-22T00:00:00"/>
        <d v="2023-09-17T00:00:00"/>
        <d v="2023-11-02T00:00:00"/>
        <d v="2024-01-22T00:00:00"/>
        <d v="2024-03-13T00:00:00"/>
        <d v="2023-12-04T00:00:00"/>
        <d v="2023-03-26T00:00:00"/>
        <d v="2024-02-12T00:00:00"/>
        <d v="2023-01-06T00:00:00"/>
        <d v="2023-01-03T00:00:00"/>
        <d v="2023-09-27T00:00:00"/>
        <d v="2024-02-20T00:00:00"/>
        <d v="2023-12-12T00:00:00"/>
        <d v="2024-02-29T00:00:00"/>
        <d v="2023-02-13T00:00:00"/>
        <d v="2023-11-10T00:00:00"/>
        <d v="2023-03-15T00:00:00"/>
        <d v="2024-05-07T00:00:00"/>
        <d v="2024-01-14T00:00:00"/>
        <d v="2023-11-23T00:00:00"/>
        <d v="2023-06-30T00:00:00"/>
        <d v="2023-08-18T00:00:00"/>
        <d v="2024-05-02T00:00:00"/>
        <d v="2023-10-26T00:00:00"/>
        <d v="2023-02-09T00:00:00"/>
        <d v="2023-05-20T00:00:00"/>
        <d v="2023-12-10T00:00:00"/>
        <d v="2023-02-24T00:00:00"/>
        <d v="2024-01-08T00:00:00"/>
        <d v="2023-06-05T00:00:00"/>
        <d v="2024-01-06T00:00:00"/>
        <d v="2023-07-12T00:00:00"/>
        <d v="2023-07-13T00:00:00"/>
        <d v="2023-01-22T00:00:00"/>
        <d v="2024-03-14T00:00:00"/>
        <d v="2024-02-06T00:00:00"/>
        <d v="2023-12-20T00:00:00"/>
        <d v="2023-09-01T00:00:00"/>
        <d v="2023-02-17T00:00:00"/>
        <d v="2023-11-14T00:00:00"/>
        <d v="2023-08-25T00:00:00"/>
        <d v="2023-04-05T00:00:00"/>
        <d v="2023-09-11T00:00:00"/>
        <d v="2023-12-18T00:00:00"/>
        <d v="2024-02-01T00:00:00"/>
        <d v="2023-06-15T00:00:00"/>
        <d v="2023-10-06T00:00:00"/>
        <d v="2024-05-09T00:00:00"/>
        <d v="2024-01-27T00:00:00"/>
        <d v="2024-01-10T00:00:00"/>
        <d v="2023-11-15T00:00:00"/>
        <d v="2023-09-18T00:00:00"/>
        <d v="2023-05-09T00:00:00"/>
        <d v="2023-08-02T00:00:00"/>
        <d v="2023-10-21T00:00:00"/>
        <d v="2023-01-31T00:00:00"/>
        <d v="2024-02-23T00:00:00"/>
        <d v="2024-01-18T00:00:00"/>
        <d v="2023-05-04T00:00:00"/>
        <d v="2024-01-20T00:00:00"/>
        <d v="2023-04-27T00:00:00"/>
        <d v="2023-07-31T00:00:00"/>
        <d v="2023-11-13T00:00:00"/>
        <d v="2024-04-16T00:00:00"/>
        <d v="2024-03-16T00:00:00"/>
        <d v="2024-03-08T00:00:00"/>
        <d v="2023-02-05T00:00:00"/>
        <d v="2024-04-07T00:00:00"/>
        <d v="2023-10-24T00:00:00"/>
        <d v="2024-04-03T00:00:00"/>
        <d v="2023-10-12T00:00:00"/>
        <d v="2023-02-01T00:00:00"/>
        <d v="2023-04-13T00:00:00"/>
        <d v="2023-01-15T00:00:00"/>
        <d v="2023-02-07T00:00:00"/>
        <d v="2024-02-05T00:00:00"/>
        <d v="2023-06-25T00:00:00"/>
        <d v="2024-04-24T00:00:00"/>
        <d v="2023-10-10T00:00:00"/>
        <d v="2023-01-13T00:00:00"/>
        <d v="2023-05-13T00:00:00"/>
        <d v="2023-03-13T00:00:00"/>
        <d v="2024-02-13T00:00:00"/>
        <d v="2024-04-02T00:00:00"/>
        <d v="2023-01-25T00:00:00"/>
        <d v="2024-05-13T00:00:00"/>
        <d v="2023-04-09T00:00:00"/>
        <d v="2023-09-03T00:00:00"/>
        <d v="2023-09-20T00:00:00"/>
        <d v="2024-02-02T00:00:00"/>
        <d v="2023-01-19T00:00:00"/>
        <d v="2023-12-23T00:00:00"/>
        <d v="2023-12-19T00:00:00"/>
        <d v="2023-02-12T00:00:00"/>
        <d v="2023-01-05T00:00:00"/>
        <d v="2023-01-02T00:00:00"/>
        <d v="2024-04-13T00:00:00"/>
        <d v="2023-10-11T00:00:00"/>
        <d v="2024-01-11T00:00:00"/>
        <d v="2024-03-21T00:00:00"/>
        <d v="2023-10-09T00:00:00"/>
        <d v="2024-01-24T00:00:00"/>
        <d v="2023-02-08T00:00:00"/>
        <d v="2024-01-09T00:00:00"/>
        <d v="2023-02-16T00:00:00"/>
        <d v="2023-12-09T00:00:00"/>
        <d v="2023-04-02T00:00:00"/>
        <d v="2023-03-28T00:00:00"/>
        <d v="2023-09-14T00:00:00"/>
        <d v="2023-04-06T00:00:00"/>
        <d v="2024-01-29T00:00:00"/>
        <d v="2024-02-26T00:00:00"/>
        <d v="2023-12-14T00:00:00"/>
        <d v="2023-09-04T00:00:00"/>
        <d v="2024-02-22T00:00:00"/>
        <d v="2023-01-10T00:00:00"/>
        <d v="2023-03-19T00:00:00"/>
        <d v="2023-11-04T00:00:00"/>
        <d v="2024-02-08T00:00:00"/>
        <d v="2023-06-23T00:00:00"/>
        <d v="2023-07-01T00:00:00"/>
        <d v="2023-03-31T00:00:00"/>
        <d v="2023-03-11T00:00:00"/>
        <d v="2023-12-24T00:00:00"/>
        <d v="2024-04-04T00:00:00"/>
        <d v="2023-11-25T00:00:00"/>
        <d v="2023-07-09T00:00:00"/>
        <d v="2023-05-23T00:00:00"/>
        <d v="2023-05-15T00:00:00"/>
        <d v="2023-11-16T00:00:00"/>
        <d v="2024-04-10T00:00:00"/>
        <d v="2023-02-04T00:00:00"/>
        <d v="2023-04-28T00:00:00"/>
        <d v="2023-08-21T00:00:00"/>
        <d v="2023-10-19T00:00:00"/>
        <d v="2023-06-18T00:00:00"/>
        <d v="2023-10-16T00:00:00"/>
        <d v="2024-03-29T00:00:00"/>
        <d v="2023-05-03T00:00:00"/>
        <d v="2023-10-13T00:00:00"/>
        <d v="2023-05-17T00:00:00"/>
        <d v="2024-03-04T00:00:00"/>
        <d v="2023-08-29T00:00:00"/>
        <d v="2023-01-18T00:00:00"/>
        <d v="2023-11-08T00:00:00"/>
        <d v="2024-04-15T00:00:00"/>
        <d v="2023-06-20T00:00:00"/>
        <d v="2024-03-17T00:00:00"/>
        <d v="2023-08-27T00:00:00"/>
        <d v="2023-02-15T00:00:00"/>
        <d v="2023-08-14T00:00:00"/>
        <d v="2023-11-12T00:00:00"/>
        <d v="2023-11-09T00:00:00"/>
        <d v="2023-11-07T00:00:00"/>
        <d v="2023-05-31T00:00:00"/>
        <d v="2023-07-04T00:00:00"/>
        <d v="2023-10-08T00:00:00"/>
        <d v="2023-06-02T00:00:00"/>
        <d v="2023-02-03T00:00:00"/>
        <d v="2023-04-17T00:00:00"/>
        <d v="2023-11-18T00:00:00"/>
        <d v="2024-04-11T00:00:00"/>
        <d v="2023-10-31T00:00:00"/>
        <d v="2023-03-16T00:00:00"/>
        <d v="2024-03-12T00:00:00"/>
        <d v="2023-11-30T00:00:00"/>
        <d v="2023-11-22T00:00:00"/>
        <d v="2023-08-10T00:00:00"/>
        <d v="2023-05-29T00:00:00"/>
        <d v="2024-05-14T00:00:00"/>
        <d v="2023-05-25T00:00:00"/>
        <d v="2023-12-17T00:00:00"/>
        <d v="2023-05-14T00:00:00"/>
        <d v="2023-06-28T00:00:00"/>
        <d v="2023-10-27T00:00:00"/>
        <d v="2024-03-31T00:00:00"/>
        <d v="2023-06-01T00:00:00"/>
        <d v="2023-05-05T00:00:00"/>
        <d v="2023-04-29T00:00:00"/>
        <d v="2023-09-09T00:00:00"/>
        <d v="2023-09-25T00:00:00"/>
        <d v="2023-05-28T00:00:00"/>
        <d v="2023-10-22T00:00:00"/>
        <d v="2023-02-18T00:00:00"/>
        <d v="2024-02-28T00:00:00"/>
        <d v="2023-08-04T00:00:00"/>
        <d v="2024-05-08T00:00:00"/>
        <d v="2023-12-21T00:00:00"/>
        <d v="2023-12-06T00:00:00"/>
        <d v="2023-06-07T00:00:00"/>
        <d v="2023-09-06T00:00:00"/>
        <d v="2023-04-21T00:00:00"/>
        <d v="2024-04-27T00:00:00"/>
        <d v="2023-04-18T00:00:00"/>
        <d v="2023-12-16T00:00:00"/>
        <d v="2023-09-28T00:00:00"/>
        <d v="2023-12-05T00:00:00"/>
        <d v="2023-07-28T00:00:00"/>
        <d v="2024-02-27T00:00:00"/>
        <d v="2023-01-20T00:00:00"/>
        <d v="2023-09-26T00:00:00"/>
        <d v="2023-08-12T00:00:00"/>
        <d v="2023-04-16T00:00:00"/>
        <d v="2024-03-20T00:00:00"/>
        <d v="2023-08-11T00:00:00"/>
        <d v="2024-04-25T00:00:00"/>
        <d v="2023-06-24T00:00:00"/>
        <d v="2023-06-29T00:00:00"/>
        <d v="2024-05-06T00:00:00"/>
        <d v="2023-04-20T00:00:00"/>
        <d v="2024-01-31T00:00:00"/>
        <d v="2023-02-22T00:00:00"/>
        <d v="2023-08-01T00:00:00"/>
        <d v="2023-12-13T00:00:00"/>
        <d v="2023-02-20T00:00:00"/>
        <d v="2023-06-03T00:00:00"/>
        <d v="2023-11-28T00:00:00"/>
        <d v="2024-03-07T00:00:00"/>
        <d v="2023-11-24T00:00:00"/>
        <d v="2023-05-21T00:00:00"/>
        <d v="2023-10-05T00:00:00"/>
        <d v="2023-01-11T00:00:00"/>
        <d v="2023-12-03T00:00:00"/>
        <d v="2023-05-07T00:00:00"/>
        <d v="2023-11-29T00:00:00"/>
        <d v="2023-04-19T00:00:00"/>
        <d v="2024-03-23T00:00:00"/>
        <d v="2023-07-15T00:00:00"/>
        <d v="2024-03-30T00:00:00"/>
        <d v="2023-12-07T00:00:00"/>
        <d v="2024-03-18T00:00:00"/>
        <d v="2023-03-12T00:00:00"/>
        <d v="2023-05-10T00:00:00"/>
        <d v="2024-05-10T00:00:00"/>
        <d v="2023-10-04T00:00:00"/>
        <d v="2023-11-03T00:00:00"/>
        <d v="2023-09-05T00:00:00"/>
        <d v="2023-12-01T00:00:00"/>
        <d v="2023-01-26T00:00:00"/>
        <d v="2024-03-28T00:00:00"/>
        <d v="2023-08-09T00:00:00"/>
        <d v="2023-08-24T00:00:00"/>
        <d v="2024-02-19T00:00:00"/>
        <d v="2024-02-15T00:00:00"/>
        <d v="2023-05-02T00:00:00"/>
        <d v="2023-08-23T00:00:00"/>
        <d v="2023-08-13T00:00:00"/>
        <d v="2024-01-12T00:00:00"/>
        <d v="2023-07-20T00:00:00"/>
        <d v="2024-04-01T00:00:00"/>
        <d v="2023-07-29T00:00:00"/>
        <d v="2024-02-25T00:00:00"/>
        <d v="2023-12-02T00:00:00"/>
        <d v="2024-01-03T00:00:00"/>
        <d v="2023-07-27T00:00:00"/>
        <d v="2023-11-06T00:00:00"/>
        <d v="2023-08-30T00:00:00"/>
        <d v="2023-11-01T00:00:00"/>
        <d v="2023-12-31T00:00:00"/>
        <d v="2023-10-07T00:00:00"/>
        <d v="2023-09-24T00:00:00"/>
        <d v="2023-01-01T00:00:00"/>
        <d v="2024-02-10T00:00:00"/>
        <d v="2023-06-26T00:00:00"/>
        <d v="2023-11-11T00:00:00"/>
        <d v="2023-07-02T00:00:00"/>
        <d v="2024-01-13T00:00:00"/>
        <d v="2024-03-26T00:00:00"/>
        <d v="2023-09-23T00:00:00"/>
        <d v="2023-09-29T00:00:00"/>
        <d v="2023-03-24T00:00:00"/>
        <d v="2024-01-21T00:00:00"/>
        <d v="2023-09-08T00:00:00"/>
        <d v="2023-07-19T00:00:00"/>
        <d v="2023-06-06T00:00:00"/>
        <d v="2023-09-07T00:00:00"/>
        <d v="2023-07-18T00:00:00"/>
        <d v="2024-03-19T00:00:00"/>
        <d v="2024-03-03T00:00:00"/>
        <d v="2023-01-12T00:00:00"/>
        <d v="2023-07-08T00:00:00"/>
        <d v="2023-05-30T00:00:00"/>
        <d v="2023-12-25T00:00:00"/>
        <d v="2023-06-14T00:00:00"/>
        <d v="2024-02-04T00:00:00"/>
        <d v="2023-10-23T00:00:00"/>
        <d v="2023-07-07T00:00:00"/>
        <d v="2023-09-19T00:00:00"/>
        <d v="2024-04-21T00:00:00"/>
        <d v="2023-01-21T00:00:00"/>
        <d v="2023-08-03T00:00:00"/>
        <d v="2023-03-14T00:00:00"/>
        <d v="2024-05-04T00:00:00"/>
        <d v="2023-08-26T00:00:00"/>
        <d v="2023-07-10T00:00:00"/>
        <d v="2023-06-17T00:00:00"/>
        <d v="2023-05-24T00:00:00"/>
        <d v="2023-07-26T00:00:00"/>
        <d v="2023-04-23T00:00:00"/>
        <d v="2024-03-24T00:00:00"/>
        <d v="2023-08-05T00:00:00"/>
        <d v="2023-02-11T00:00:00"/>
        <d v="2023-01-29T00:00:00"/>
        <d v="2023-12-15T00:00:00"/>
        <d v="2023-01-09T00:00:00"/>
        <d v="2023-05-27T00:00:00"/>
        <d v="2023-12-26T00:00:00"/>
        <d v="2023-04-03T00:00:00"/>
        <d v="2024-04-08T00:00:00"/>
        <d v="2024-05-05T00:00:00"/>
        <d v="2023-05-19T00:00:00"/>
        <d v="2024-02-18T00:00:00"/>
        <d v="2024-03-27T00:00:00"/>
        <d v="2023-01-04T00:00:00"/>
        <d v="2023-11-19T00:00:00"/>
        <d v="2023-10-02T00:00:00"/>
        <d v="2023-07-22T00:00:00"/>
        <d v="2024-04-14T00:00:00"/>
        <d v="2024-02-14T00:00:00"/>
        <d v="2023-03-25T00:00:00"/>
        <d v="2023-05-11T00:00:00"/>
        <d v="2024-04-18T00:00:00"/>
        <d v="2023-08-22T00:00:00"/>
        <d v="2023-04-30T00:00:00"/>
        <d v="2024-02-09T00:00:00"/>
        <d v="2023-10-20T00:00:00"/>
        <d v="2024-01-25T00:00:00"/>
        <d v="2023-04-04T00:00:00"/>
        <d v="2023-04-08T00:00:00"/>
        <d v="2023-03-07T00:00:00"/>
        <d v="2024-03-11T00:00:00"/>
        <d v="2023-08-19T00:00:00"/>
        <d v="2023-03-30T00:00:00"/>
        <d v="2023-06-19T00:00:00"/>
        <d v="2024-04-20T00:00:00"/>
        <d v="2023-01-17T00:00:00"/>
        <d v="2023-02-10T00:00:00"/>
        <d v="2024-02-21T00:00:00"/>
        <d v="2023-02-27T00:00:00"/>
        <d v="2024-04-26T00:00:00"/>
        <d v="2024-03-10T00:00:00"/>
        <d v="2024-04-12T00:00:00"/>
        <d v="2024-01-01T00:00:00"/>
        <d v="2023-03-20T00:00:00"/>
        <d v="2023-03-23T00:00:00"/>
        <d v="2023-07-24T00:00:00"/>
        <d v="2023-06-16T00:00:00"/>
        <d v="2024-02-16T00:00:00"/>
        <d v="2023-08-07T00:00:00"/>
        <d v="2024-01-07T00:00:00"/>
        <d v="2023-10-25T00:00:00"/>
        <d v="2023-01-27T00:00:00"/>
        <d v="2024-02-03T00:00:00"/>
        <d v="2023-04-01T00:00:00"/>
        <d v="2023-12-28T00:00:00"/>
        <d v="2023-12-27T00:00:00"/>
        <d v="2023-02-06T00:00:00"/>
        <d v="2024-03-09T00:00:00"/>
        <d v="2023-10-15T00:00:00"/>
        <d v="2023-02-02T00:00:00"/>
        <d v="2023-08-15T00:00:00"/>
        <d v="2024-01-19T00:00:00"/>
        <d v="2023-04-24T00:00:00"/>
        <d v="2023-08-20T00:00:00"/>
      </sharedItems>
      <fieldGroup par="13"/>
    </cacheField>
    <cacheField name=" Customer Name" numFmtId="0">
      <sharedItems count="8">
        <s v="John Smith"/>
        <s v="Chris Lee"/>
        <s v="Jane Doe"/>
        <s v="Alex Kim"/>
        <s v="Mike Brown"/>
        <s v="Emily Chen"/>
        <s v="Sarah Johnson"/>
        <s v="N/A"/>
      </sharedItems>
    </cacheField>
    <cacheField name="customer_email " numFmtId="0">
      <sharedItems/>
    </cacheField>
    <cacheField name="Product Name" numFmtId="0">
      <sharedItems count="9">
        <s v="T-Shirt"/>
        <s v="Headphones"/>
        <s v="Sneakers"/>
        <s v="Jeans"/>
        <s v="Phone Charger"/>
        <s v="Backpack"/>
        <s v="Notebook"/>
        <s v="Coffee Maker"/>
        <s v="Blender"/>
      </sharedItems>
    </cacheField>
    <cacheField name="Category" numFmtId="0">
      <sharedItems count="6">
        <s v="Apparel"/>
        <s v="Electronics"/>
        <s v="Footwear"/>
        <s v="Accessories"/>
        <s v="Stationery"/>
        <s v="Home"/>
      </sharedItems>
    </cacheField>
    <cacheField name="Quantity" numFmtId="0">
      <sharedItems containsMixedTypes="1" containsNumber="1" containsInteger="1" minValue="1" maxValue="5" count="6">
        <n v="5"/>
        <s v="N/A"/>
        <n v="4"/>
        <n v="2"/>
        <n v="1"/>
        <n v="3"/>
      </sharedItems>
    </cacheField>
    <cacheField name="Unit Price" numFmtId="2">
      <sharedItems containsSemiMixedTypes="0" containsString="0" containsNumber="1" minValue="4.99" maxValue="99.99"/>
    </cacheField>
    <cacheField name="Total price" numFmtId="0">
      <sharedItems containsMixedTypes="1" containsNumber="1" minValue="4.99" maxValue="499.95" count="46">
        <n v="79.95"/>
        <n v="499.95"/>
        <s v="N/A"/>
        <n v="159.96"/>
        <n v="29.98"/>
        <n v="119.98"/>
        <n v="14.99"/>
        <n v="399.95"/>
        <n v="99.98"/>
        <n v="15.99"/>
        <n v="199.95000000000002"/>
        <n v="14.97"/>
        <n v="199.98"/>
        <n v="49.99"/>
        <n v="39.99"/>
        <n v="44.97"/>
        <n v="149.94999999999999"/>
        <n v="239.96"/>
        <n v="299.96999999999997"/>
        <n v="79.989999999999995"/>
        <n v="249.95000000000002"/>
        <n v="9.98"/>
        <n v="99.99"/>
        <n v="239.96999999999997"/>
        <n v="59.99"/>
        <n v="74.95"/>
        <n v="89.97"/>
        <n v="399.96"/>
        <n v="59.98"/>
        <n v="159.97999999999999"/>
        <n v="299.95"/>
        <n v="119.96"/>
        <n v="149.97"/>
        <n v="59.96"/>
        <n v="119.97"/>
        <n v="24.950000000000003"/>
        <n v="4.99"/>
        <n v="29.99"/>
        <n v="179.97"/>
        <n v="319.95999999999998"/>
        <n v="47.97"/>
        <n v="19.96"/>
        <n v="63.96"/>
        <n v="199.96"/>
        <n v="79.98"/>
        <n v="31.98"/>
      </sharedItems>
    </cacheField>
    <cacheField name="Payment Method" numFmtId="0">
      <sharedItems count="4">
        <s v="Debit"/>
        <s v="Cash"/>
        <s v="Credit Card"/>
        <s v="Apple Pay"/>
      </sharedItems>
    </cacheField>
    <cacheField name="Ship State 2" numFmtId="0">
      <sharedItems count="5">
        <s v="NJ"/>
        <s v="PA"/>
        <s v="CA"/>
        <s v="NY"/>
        <s v="TX"/>
      </sharedItems>
    </cacheField>
    <cacheField name="Order status" numFmtId="0">
      <sharedItems count="3">
        <s v="Complete"/>
        <s v="Cancelled"/>
        <s v="Pending"/>
      </sharedItems>
    </cacheField>
    <cacheField name="Notes" numFmtId="0">
      <sharedItems/>
    </cacheField>
    <cacheField name="order date 2" numFmtId="0" databaseField="0">
      <fieldGroup par="14" base="1">
        <discretePr count="379">
          <x v="2"/>
          <x v="2"/>
          <x v="2"/>
          <x v="4"/>
          <x v="14"/>
          <x v="15"/>
          <x v="14"/>
          <x v="0"/>
          <x v="15"/>
          <x v="9"/>
          <x v="5"/>
          <x v="6"/>
          <x v="16"/>
          <x v="2"/>
          <x v="2"/>
          <x v="15"/>
          <x v="8"/>
          <x v="10"/>
          <x v="12"/>
          <x v="14"/>
          <x v="11"/>
          <x v="2"/>
          <x v="13"/>
          <x v="17"/>
          <x v="17"/>
          <x v="8"/>
          <x v="13"/>
          <x v="11"/>
          <x v="13"/>
          <x v="1"/>
          <x v="10"/>
          <x v="2"/>
          <x v="16"/>
          <x v="12"/>
          <x v="10"/>
          <x v="5"/>
          <x v="7"/>
          <x v="16"/>
          <x v="9"/>
          <x v="1"/>
          <x v="4"/>
          <x v="11"/>
          <x v="1"/>
          <x v="12"/>
          <x v="5"/>
          <x v="12"/>
          <x v="6"/>
          <x v="6"/>
          <x v="17"/>
          <x v="14"/>
          <x v="13"/>
          <x v="11"/>
          <x v="8"/>
          <x v="1"/>
          <x v="10"/>
          <x v="7"/>
          <x v="3"/>
          <x v="8"/>
          <x v="11"/>
          <x v="13"/>
          <x v="5"/>
          <x v="9"/>
          <x v="16"/>
          <x v="12"/>
          <x v="12"/>
          <x v="10"/>
          <x v="8"/>
          <x v="4"/>
          <x v="7"/>
          <x v="9"/>
          <x v="17"/>
          <x v="13"/>
          <x v="12"/>
          <x v="4"/>
          <x v="12"/>
          <x v="3"/>
          <x v="6"/>
          <x v="10"/>
          <x v="15"/>
          <x v="14"/>
          <x v="14"/>
          <x v="1"/>
          <x v="15"/>
          <x v="9"/>
          <x v="15"/>
          <x v="9"/>
          <x v="1"/>
          <x v="3"/>
          <x v="17"/>
          <x v="1"/>
          <x v="13"/>
          <x v="5"/>
          <x v="15"/>
          <x v="9"/>
          <x v="17"/>
          <x v="4"/>
          <x v="2"/>
          <x v="13"/>
          <x v="15"/>
          <x v="17"/>
          <x v="16"/>
          <x v="3"/>
          <x v="8"/>
          <x v="8"/>
          <x v="13"/>
          <x v="17"/>
          <x v="11"/>
          <x v="11"/>
          <x v="1"/>
          <x v="17"/>
          <x v="17"/>
          <x v="15"/>
          <x v="9"/>
          <x v="12"/>
          <x v="14"/>
          <x v="9"/>
          <x v="12"/>
          <x v="1"/>
          <x v="12"/>
          <x v="1"/>
          <x v="11"/>
          <x v="3"/>
          <x v="2"/>
          <x v="8"/>
          <x v="3"/>
          <x v="12"/>
          <x v="13"/>
          <x v="11"/>
          <x v="8"/>
          <x v="13"/>
          <x v="17"/>
          <x v="2"/>
          <x v="10"/>
          <x v="13"/>
          <x v="5"/>
          <x v="6"/>
          <x v="2"/>
          <x v="2"/>
          <x v="11"/>
          <x v="15"/>
          <x v="10"/>
          <x v="6"/>
          <x v="4"/>
          <x v="4"/>
          <x v="10"/>
          <x v="15"/>
          <x v="1"/>
          <x v="3"/>
          <x v="7"/>
          <x v="9"/>
          <x v="5"/>
          <x v="9"/>
          <x v="14"/>
          <x v="4"/>
          <x v="9"/>
          <x v="4"/>
          <x v="14"/>
          <x v="7"/>
          <x v="17"/>
          <x v="10"/>
          <x v="15"/>
          <x v="5"/>
          <x v="14"/>
          <x v="7"/>
          <x v="1"/>
          <x v="7"/>
          <x v="10"/>
          <x v="10"/>
          <x v="10"/>
          <x v="4"/>
          <x v="6"/>
          <x v="9"/>
          <x v="5"/>
          <x v="1"/>
          <x v="3"/>
          <x v="10"/>
          <x v="15"/>
          <x v="9"/>
          <x v="2"/>
          <x v="14"/>
          <x v="10"/>
          <x v="10"/>
          <x v="7"/>
          <x v="4"/>
          <x v="16"/>
          <x v="4"/>
          <x v="11"/>
          <x v="4"/>
          <x v="5"/>
          <x v="9"/>
          <x v="14"/>
          <x v="5"/>
          <x v="4"/>
          <x v="3"/>
          <x v="8"/>
          <x v="8"/>
          <x v="4"/>
          <x v="9"/>
          <x v="1"/>
          <x v="13"/>
          <x v="7"/>
          <x v="16"/>
          <x v="11"/>
          <x v="11"/>
          <x v="5"/>
          <x v="8"/>
          <x v="3"/>
          <x v="15"/>
          <x v="3"/>
          <x v="11"/>
          <x v="8"/>
          <x v="11"/>
          <x v="6"/>
          <x v="13"/>
          <x v="17"/>
          <x v="8"/>
          <x v="7"/>
          <x v="3"/>
          <x v="14"/>
          <x v="7"/>
          <x v="15"/>
          <x v="5"/>
          <x v="5"/>
          <x v="16"/>
          <x v="3"/>
          <x v="12"/>
          <x v="1"/>
          <x v="7"/>
          <x v="11"/>
          <x v="1"/>
          <x v="5"/>
          <x v="10"/>
          <x v="14"/>
          <x v="10"/>
          <x v="4"/>
          <x v="9"/>
          <x v="17"/>
          <x v="11"/>
          <x v="4"/>
          <x v="10"/>
          <x v="3"/>
          <x v="14"/>
          <x v="6"/>
          <x v="14"/>
          <x v="11"/>
          <x v="14"/>
          <x v="2"/>
          <x v="4"/>
          <x v="16"/>
          <x v="9"/>
          <x v="10"/>
          <x v="8"/>
          <x v="11"/>
          <x v="17"/>
          <x v="14"/>
          <x v="7"/>
          <x v="7"/>
          <x v="13"/>
          <x v="13"/>
          <x v="4"/>
          <x v="7"/>
          <x v="7"/>
          <x v="12"/>
          <x v="6"/>
          <x v="15"/>
          <x v="6"/>
          <x v="13"/>
          <x v="11"/>
          <x v="12"/>
          <x v="6"/>
          <x v="10"/>
          <x v="7"/>
          <x v="10"/>
          <x v="11"/>
          <x v="9"/>
          <x v="8"/>
          <x v="17"/>
          <x v="13"/>
          <x v="5"/>
          <x v="10"/>
          <x v="6"/>
          <x v="12"/>
          <x v="14"/>
          <x v="8"/>
          <x v="8"/>
          <x v="2"/>
          <x v="12"/>
          <x v="8"/>
          <x v="6"/>
          <x v="5"/>
          <x v="8"/>
          <x v="6"/>
          <x v="14"/>
          <x v="14"/>
          <x v="17"/>
          <x v="6"/>
          <x v="4"/>
          <x v="11"/>
          <x v="5"/>
          <x v="13"/>
          <x v="9"/>
          <x v="6"/>
          <x v="8"/>
          <x v="15"/>
          <x v="17"/>
          <x v="7"/>
          <x v="2"/>
          <x v="16"/>
          <x v="7"/>
          <x v="6"/>
          <x v="5"/>
          <x v="4"/>
          <x v="6"/>
          <x v="3"/>
          <x v="14"/>
          <x v="7"/>
          <x v="1"/>
          <x v="17"/>
          <x v="11"/>
          <x v="17"/>
          <x v="4"/>
          <x v="11"/>
          <x v="3"/>
          <x v="15"/>
          <x v="16"/>
          <x v="4"/>
          <x v="13"/>
          <x v="14"/>
          <x v="17"/>
          <x v="10"/>
          <x v="9"/>
          <x v="6"/>
          <x v="15"/>
          <x v="13"/>
          <x v="2"/>
          <x v="4"/>
          <x v="15"/>
          <x v="7"/>
          <x v="3"/>
          <x v="13"/>
          <x v="9"/>
          <x v="12"/>
          <x v="3"/>
          <x v="3"/>
          <x v="2"/>
          <x v="14"/>
          <x v="7"/>
          <x v="2"/>
          <x v="5"/>
          <x v="15"/>
          <x v="17"/>
          <x v="1"/>
          <x v="13"/>
          <x v="1"/>
          <x v="15"/>
          <x v="14"/>
          <x v="15"/>
          <x v="12"/>
          <x v="2"/>
          <x v="2"/>
          <x v="6"/>
          <x v="5"/>
          <x v="13"/>
          <x v="7"/>
          <x v="12"/>
          <x v="9"/>
          <x v="17"/>
          <x v="13"/>
          <x v="3"/>
          <x v="11"/>
          <x v="11"/>
          <x v="1"/>
          <x v="14"/>
          <x v="9"/>
          <x v="1"/>
          <x v="7"/>
          <x v="12"/>
          <x v="3"/>
          <x v="7"/>
        </discretePr>
        <groupItems count="18">
          <s v="N/A"/>
          <s v="Group2"/>
          <s v="Group3"/>
          <s v="Group4"/>
          <s v="Group5"/>
          <s v="Group6"/>
          <s v="Group7"/>
          <s v="Group8"/>
          <s v="Group9"/>
          <s v="Group10"/>
          <s v="Group11"/>
          <s v="Group12"/>
          <s v="Group13"/>
          <s v="Group14"/>
          <s v="Group15"/>
          <s v="Group16"/>
          <s v="Group17"/>
          <s v="Group1"/>
        </groupItems>
      </fieldGroup>
    </cacheField>
    <cacheField name="order date 3" numFmtId="0" databaseField="0">
      <fieldGroup base="1">
        <discretePr count="379">
          <x v="1"/>
          <x v="1"/>
          <x v="1"/>
          <x v="1"/>
          <x v="2"/>
          <x v="2"/>
          <x v="2"/>
          <x v="0"/>
          <x v="2"/>
          <x v="1"/>
          <x v="1"/>
          <x v="1"/>
          <x v="2"/>
          <x v="1"/>
          <x v="1"/>
          <x v="2"/>
          <x v="1"/>
          <x v="1"/>
          <x v="2"/>
          <x v="2"/>
          <x v="1"/>
          <x v="1"/>
          <x v="2"/>
          <x v="1"/>
          <x v="1"/>
          <x v="1"/>
          <x v="2"/>
          <x v="1"/>
          <x v="2"/>
          <x v="1"/>
          <x v="1"/>
          <x v="1"/>
          <x v="2"/>
          <x v="2"/>
          <x v="1"/>
          <x v="1"/>
          <x v="1"/>
          <x v="2"/>
          <x v="1"/>
          <x v="1"/>
          <x v="1"/>
          <x v="1"/>
          <x v="1"/>
          <x v="2"/>
          <x v="1"/>
          <x v="2"/>
          <x v="1"/>
          <x v="1"/>
          <x v="1"/>
          <x v="2"/>
          <x v="2"/>
          <x v="1"/>
          <x v="1"/>
          <x v="1"/>
          <x v="1"/>
          <x v="1"/>
          <x v="1"/>
          <x v="1"/>
          <x v="1"/>
          <x v="2"/>
          <x v="1"/>
          <x v="1"/>
          <x v="2"/>
          <x v="2"/>
          <x v="2"/>
          <x v="1"/>
          <x v="1"/>
          <x v="1"/>
          <x v="1"/>
          <x v="1"/>
          <x v="1"/>
          <x v="2"/>
          <x v="2"/>
          <x v="1"/>
          <x v="2"/>
          <x v="1"/>
          <x v="1"/>
          <x v="1"/>
          <x v="2"/>
          <x v="2"/>
          <x v="2"/>
          <x v="1"/>
          <x v="2"/>
          <x v="1"/>
          <x v="2"/>
          <x v="1"/>
          <x v="1"/>
          <x v="1"/>
          <x v="1"/>
          <x v="1"/>
          <x v="2"/>
          <x v="1"/>
          <x v="2"/>
          <x v="1"/>
          <x v="1"/>
          <x v="1"/>
          <x v="1"/>
          <x v="2"/>
          <x v="2"/>
          <x v="1"/>
          <x v="2"/>
          <x v="1"/>
          <x v="1"/>
          <x v="1"/>
          <x v="2"/>
          <x v="1"/>
          <x v="1"/>
          <x v="1"/>
          <x v="1"/>
          <x v="1"/>
          <x v="1"/>
          <x v="2"/>
          <x v="1"/>
          <x v="2"/>
          <x v="2"/>
          <x v="1"/>
          <x v="2"/>
          <x v="1"/>
          <x v="2"/>
          <x v="1"/>
          <x v="1"/>
          <x v="1"/>
          <x v="1"/>
          <x v="1"/>
          <x v="1"/>
          <x v="2"/>
          <x v="2"/>
          <x v="1"/>
          <x v="1"/>
          <x v="2"/>
          <x v="1"/>
          <x v="1"/>
          <x v="1"/>
          <x v="2"/>
          <x v="1"/>
          <x v="1"/>
          <x v="1"/>
          <x v="1"/>
          <x v="1"/>
          <x v="2"/>
          <x v="1"/>
          <x v="1"/>
          <x v="1"/>
          <x v="1"/>
          <x v="1"/>
          <x v="2"/>
          <x v="1"/>
          <x v="1"/>
          <x v="1"/>
          <x v="1"/>
          <x v="1"/>
          <x v="1"/>
          <x v="2"/>
          <x v="1"/>
          <x v="1"/>
          <x v="1"/>
          <x v="2"/>
          <x v="1"/>
          <x v="1"/>
          <x v="1"/>
          <x v="2"/>
          <x v="1"/>
          <x v="2"/>
          <x v="1"/>
          <x v="1"/>
          <x v="1"/>
          <x v="1"/>
          <x v="1"/>
          <x v="1"/>
          <x v="1"/>
          <x v="1"/>
          <x v="1"/>
          <x v="1"/>
          <x v="1"/>
          <x v="1"/>
          <x v="1"/>
          <x v="2"/>
          <x v="1"/>
          <x v="1"/>
          <x v="2"/>
          <x v="1"/>
          <x v="1"/>
          <x v="1"/>
          <x v="1"/>
          <x v="2"/>
          <x v="1"/>
          <x v="1"/>
          <x v="1"/>
          <x v="1"/>
          <x v="1"/>
          <x v="2"/>
          <x v="1"/>
          <x v="1"/>
          <x v="1"/>
          <x v="1"/>
          <x v="1"/>
          <x v="1"/>
          <x v="1"/>
          <x v="1"/>
          <x v="2"/>
          <x v="1"/>
          <x v="2"/>
          <x v="1"/>
          <x v="1"/>
          <x v="1"/>
          <x v="1"/>
          <x v="1"/>
          <x v="2"/>
          <x v="1"/>
          <x v="1"/>
          <x v="1"/>
          <x v="1"/>
          <x v="1"/>
          <x v="2"/>
          <x v="1"/>
          <x v="1"/>
          <x v="1"/>
          <x v="1"/>
          <x v="2"/>
          <x v="1"/>
          <x v="2"/>
          <x v="1"/>
          <x v="1"/>
          <x v="2"/>
          <x v="1"/>
          <x v="2"/>
          <x v="1"/>
          <x v="1"/>
          <x v="1"/>
          <x v="1"/>
          <x v="1"/>
          <x v="1"/>
          <x v="2"/>
          <x v="1"/>
          <x v="1"/>
          <x v="1"/>
          <x v="1"/>
          <x v="1"/>
          <x v="1"/>
          <x v="1"/>
          <x v="1"/>
          <x v="2"/>
          <x v="1"/>
          <x v="2"/>
          <x v="1"/>
          <x v="2"/>
          <x v="1"/>
          <x v="1"/>
          <x v="2"/>
          <x v="1"/>
          <x v="1"/>
          <x v="1"/>
          <x v="1"/>
          <x v="1"/>
          <x v="2"/>
          <x v="1"/>
          <x v="1"/>
          <x v="2"/>
          <x v="2"/>
          <x v="1"/>
          <x v="1"/>
          <x v="1"/>
          <x v="2"/>
          <x v="1"/>
          <x v="2"/>
          <x v="1"/>
          <x v="2"/>
          <x v="1"/>
          <x v="2"/>
          <x v="1"/>
          <x v="1"/>
          <x v="1"/>
          <x v="1"/>
          <x v="1"/>
          <x v="1"/>
          <x v="1"/>
          <x v="1"/>
          <x v="2"/>
          <x v="1"/>
          <x v="1"/>
          <x v="1"/>
          <x v="2"/>
          <x v="2"/>
          <x v="1"/>
          <x v="1"/>
          <x v="1"/>
          <x v="2"/>
          <x v="1"/>
          <x v="1"/>
          <x v="1"/>
          <x v="1"/>
          <x v="1"/>
          <x v="2"/>
          <x v="2"/>
          <x v="1"/>
          <x v="1"/>
          <x v="1"/>
          <x v="1"/>
          <x v="1"/>
          <x v="2"/>
          <x v="1"/>
          <x v="1"/>
          <x v="1"/>
          <x v="2"/>
          <x v="1"/>
          <x v="1"/>
          <x v="1"/>
          <x v="2"/>
          <x v="1"/>
          <x v="1"/>
          <x v="1"/>
          <x v="1"/>
          <x v="1"/>
          <x v="1"/>
          <x v="2"/>
          <x v="1"/>
          <x v="1"/>
          <x v="1"/>
          <x v="1"/>
          <x v="1"/>
          <x v="1"/>
          <x v="1"/>
          <x v="1"/>
          <x v="2"/>
          <x v="2"/>
          <x v="1"/>
          <x v="2"/>
          <x v="2"/>
          <x v="1"/>
          <x v="1"/>
          <x v="1"/>
          <x v="1"/>
          <x v="2"/>
          <x v="2"/>
          <x v="1"/>
          <x v="1"/>
          <x v="2"/>
          <x v="1"/>
          <x v="1"/>
          <x v="2"/>
          <x v="1"/>
          <x v="2"/>
          <x v="1"/>
          <x v="1"/>
          <x v="1"/>
          <x v="2"/>
          <x v="1"/>
          <x v="1"/>
          <x v="1"/>
          <x v="2"/>
          <x v="1"/>
          <x v="1"/>
          <x v="2"/>
          <x v="1"/>
          <x v="2"/>
          <x v="2"/>
          <x v="2"/>
          <x v="2"/>
          <x v="1"/>
          <x v="1"/>
          <x v="1"/>
          <x v="1"/>
          <x v="2"/>
          <x v="1"/>
          <x v="2"/>
          <x v="1"/>
          <x v="1"/>
          <x v="2"/>
          <x v="1"/>
          <x v="1"/>
          <x v="1"/>
          <x v="1"/>
          <x v="2"/>
          <x v="1"/>
          <x v="1"/>
          <x v="1"/>
          <x v="2"/>
          <x v="1"/>
          <x v="1"/>
        </discretePr>
        <groupItems count="3">
          <s v="N/A"/>
          <s v="Group1"/>
          <s v="Group2"/>
        </groupItems>
      </fieldGroup>
    </cacheField>
    <cacheField name="Average Revenue Per Person" numFmtId="0" formula="'Total price'/'Order ID'" databaseField="0"/>
  </cacheFields>
  <extLst>
    <ext xmlns:x14="http://schemas.microsoft.com/office/spreadsheetml/2009/9/main" uri="{725AE2AE-9491-48be-B2B4-4EB974FC3084}">
      <x14:pivotCacheDefinition pivotCacheId="1420364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0">
  <r>
    <x v="0"/>
    <x v="0"/>
    <x v="0"/>
    <s v="johnsmith@gmail.com"/>
    <x v="0"/>
    <x v="0"/>
    <x v="0"/>
    <n v="15.99"/>
    <x v="0"/>
    <x v="0"/>
    <x v="0"/>
    <x v="0"/>
    <s v="N/A"/>
  </r>
  <r>
    <x v="1"/>
    <x v="1"/>
    <x v="1"/>
    <s v="chrislee@yahoo.com"/>
    <x v="1"/>
    <x v="1"/>
    <x v="0"/>
    <n v="99.99"/>
    <x v="1"/>
    <x v="1"/>
    <x v="0"/>
    <x v="1"/>
    <s v="N/A"/>
  </r>
  <r>
    <x v="2"/>
    <x v="2"/>
    <x v="1"/>
    <s v="chrislee@yahoo.com"/>
    <x v="2"/>
    <x v="2"/>
    <x v="1"/>
    <n v="79.989999999999995"/>
    <x v="2"/>
    <x v="2"/>
    <x v="1"/>
    <x v="0"/>
    <s v="N/A"/>
  </r>
  <r>
    <x v="3"/>
    <x v="3"/>
    <x v="2"/>
    <s v="janedoe@gmail.com"/>
    <x v="3"/>
    <x v="0"/>
    <x v="2"/>
    <n v="39.99"/>
    <x v="3"/>
    <x v="1"/>
    <x v="0"/>
    <x v="2"/>
    <s v="N/A"/>
  </r>
  <r>
    <x v="4"/>
    <x v="4"/>
    <x v="3"/>
    <s v="alexkim@email.com"/>
    <x v="0"/>
    <x v="0"/>
    <x v="1"/>
    <n v="15.99"/>
    <x v="2"/>
    <x v="1"/>
    <x v="2"/>
    <x v="0"/>
    <s v="N/A"/>
  </r>
  <r>
    <x v="5"/>
    <x v="5"/>
    <x v="3"/>
    <s v="alexkim@yahoo.com"/>
    <x v="4"/>
    <x v="1"/>
    <x v="3"/>
    <n v="14.99"/>
    <x v="4"/>
    <x v="0"/>
    <x v="2"/>
    <x v="0"/>
    <s v="N/A"/>
  </r>
  <r>
    <x v="6"/>
    <x v="6"/>
    <x v="1"/>
    <s v="chrislee@yahoo.com"/>
    <x v="5"/>
    <x v="3"/>
    <x v="3"/>
    <n v="59.99"/>
    <x v="5"/>
    <x v="3"/>
    <x v="3"/>
    <x v="0"/>
    <s v="N/A"/>
  </r>
  <r>
    <x v="7"/>
    <x v="7"/>
    <x v="2"/>
    <s v="janedoe@gmail.com"/>
    <x v="4"/>
    <x v="1"/>
    <x v="4"/>
    <n v="14.99"/>
    <x v="6"/>
    <x v="2"/>
    <x v="3"/>
    <x v="0"/>
    <s v="N/A"/>
  </r>
  <r>
    <x v="8"/>
    <x v="8"/>
    <x v="3"/>
    <s v="alexkim@email.com"/>
    <x v="6"/>
    <x v="4"/>
    <x v="1"/>
    <n v="4.99"/>
    <x v="2"/>
    <x v="2"/>
    <x v="0"/>
    <x v="1"/>
    <s v="check"/>
  </r>
  <r>
    <x v="9"/>
    <x v="9"/>
    <x v="4"/>
    <s v="mikebrown@email.com"/>
    <x v="2"/>
    <x v="2"/>
    <x v="0"/>
    <n v="79.989999999999995"/>
    <x v="7"/>
    <x v="1"/>
    <x v="0"/>
    <x v="0"/>
    <s v="N/A"/>
  </r>
  <r>
    <x v="10"/>
    <x v="10"/>
    <x v="5"/>
    <s v="emilychen@gmail.com"/>
    <x v="7"/>
    <x v="5"/>
    <x v="3"/>
    <n v="49.99"/>
    <x v="8"/>
    <x v="3"/>
    <x v="0"/>
    <x v="0"/>
    <s v="N/A"/>
  </r>
  <r>
    <x v="11"/>
    <x v="11"/>
    <x v="0"/>
    <s v="johnsmith@yahoo.com"/>
    <x v="4"/>
    <x v="1"/>
    <x v="4"/>
    <n v="14.99"/>
    <x v="6"/>
    <x v="2"/>
    <x v="0"/>
    <x v="0"/>
    <s v="N/A"/>
  </r>
  <r>
    <x v="12"/>
    <x v="12"/>
    <x v="6"/>
    <s v="sarahjohnson@yahoo.com"/>
    <x v="0"/>
    <x v="0"/>
    <x v="0"/>
    <n v="15.99"/>
    <x v="0"/>
    <x v="1"/>
    <x v="2"/>
    <x v="2"/>
    <s v="N/A"/>
  </r>
  <r>
    <x v="13"/>
    <x v="13"/>
    <x v="0"/>
    <s v="johnsmith@yahoo.com"/>
    <x v="0"/>
    <x v="0"/>
    <x v="4"/>
    <n v="15.99"/>
    <x v="9"/>
    <x v="1"/>
    <x v="2"/>
    <x v="2"/>
    <s v="N/A"/>
  </r>
  <r>
    <x v="14"/>
    <x v="7"/>
    <x v="1"/>
    <s v="N/A"/>
    <x v="3"/>
    <x v="0"/>
    <x v="0"/>
    <n v="39.99"/>
    <x v="10"/>
    <x v="1"/>
    <x v="2"/>
    <x v="0"/>
    <s v="N/A"/>
  </r>
  <r>
    <x v="15"/>
    <x v="14"/>
    <x v="1"/>
    <s v="chrislee@email.com"/>
    <x v="6"/>
    <x v="4"/>
    <x v="5"/>
    <n v="4.99"/>
    <x v="11"/>
    <x v="0"/>
    <x v="2"/>
    <x v="0"/>
    <s v="N/A"/>
  </r>
  <r>
    <x v="16"/>
    <x v="15"/>
    <x v="0"/>
    <s v="johnsmith@email.com"/>
    <x v="1"/>
    <x v="1"/>
    <x v="3"/>
    <n v="99.99"/>
    <x v="12"/>
    <x v="0"/>
    <x v="2"/>
    <x v="0"/>
    <s v="N/A"/>
  </r>
  <r>
    <x v="17"/>
    <x v="7"/>
    <x v="5"/>
    <s v="emilychen@gmail.com"/>
    <x v="7"/>
    <x v="5"/>
    <x v="4"/>
    <n v="49.99"/>
    <x v="13"/>
    <x v="2"/>
    <x v="3"/>
    <x v="0"/>
    <s v="N/A"/>
  </r>
  <r>
    <x v="18"/>
    <x v="16"/>
    <x v="0"/>
    <s v="johnsmith@email.com"/>
    <x v="6"/>
    <x v="4"/>
    <x v="1"/>
    <n v="4.99"/>
    <x v="2"/>
    <x v="2"/>
    <x v="3"/>
    <x v="0"/>
    <s v="check"/>
  </r>
  <r>
    <x v="19"/>
    <x v="7"/>
    <x v="5"/>
    <s v="emilychen@yahoo.com"/>
    <x v="3"/>
    <x v="0"/>
    <x v="4"/>
    <n v="39.99"/>
    <x v="14"/>
    <x v="2"/>
    <x v="0"/>
    <x v="0"/>
    <s v="N/A"/>
  </r>
  <r>
    <x v="20"/>
    <x v="17"/>
    <x v="6"/>
    <s v="sarahjohnson@gmail.com"/>
    <x v="4"/>
    <x v="1"/>
    <x v="5"/>
    <n v="14.99"/>
    <x v="15"/>
    <x v="3"/>
    <x v="0"/>
    <x v="0"/>
    <s v="check"/>
  </r>
  <r>
    <x v="21"/>
    <x v="18"/>
    <x v="0"/>
    <s v="johnsmith@yahoo.com"/>
    <x v="2"/>
    <x v="2"/>
    <x v="1"/>
    <n v="79.989999999999995"/>
    <x v="2"/>
    <x v="0"/>
    <x v="0"/>
    <x v="1"/>
    <s v="N/A"/>
  </r>
  <r>
    <x v="22"/>
    <x v="19"/>
    <x v="0"/>
    <s v="johnsmith@email.com"/>
    <x v="8"/>
    <x v="5"/>
    <x v="0"/>
    <n v="29.99"/>
    <x v="16"/>
    <x v="2"/>
    <x v="3"/>
    <x v="1"/>
    <s v="N/A"/>
  </r>
  <r>
    <x v="23"/>
    <x v="20"/>
    <x v="1"/>
    <s v="chrislee@email.com"/>
    <x v="5"/>
    <x v="3"/>
    <x v="2"/>
    <n v="59.99"/>
    <x v="17"/>
    <x v="0"/>
    <x v="1"/>
    <x v="0"/>
    <s v="N/A"/>
  </r>
  <r>
    <x v="24"/>
    <x v="21"/>
    <x v="0"/>
    <s v="johnsmith@yahoo.com"/>
    <x v="7"/>
    <x v="5"/>
    <x v="1"/>
    <n v="49.99"/>
    <x v="2"/>
    <x v="3"/>
    <x v="2"/>
    <x v="1"/>
    <s v="N/A"/>
  </r>
  <r>
    <x v="25"/>
    <x v="22"/>
    <x v="4"/>
    <s v="mikebrown@yahoo.com"/>
    <x v="1"/>
    <x v="1"/>
    <x v="5"/>
    <n v="99.99"/>
    <x v="18"/>
    <x v="2"/>
    <x v="1"/>
    <x v="0"/>
    <s v="N/A"/>
  </r>
  <r>
    <x v="26"/>
    <x v="23"/>
    <x v="6"/>
    <s v="sarahjohnson@gmail.com"/>
    <x v="6"/>
    <x v="4"/>
    <x v="1"/>
    <n v="4.99"/>
    <x v="2"/>
    <x v="2"/>
    <x v="0"/>
    <x v="1"/>
    <s v="N/A"/>
  </r>
  <r>
    <x v="27"/>
    <x v="24"/>
    <x v="6"/>
    <s v="sarahjohnson@gmail.com"/>
    <x v="2"/>
    <x v="2"/>
    <x v="4"/>
    <n v="79.989999999999995"/>
    <x v="19"/>
    <x v="1"/>
    <x v="0"/>
    <x v="0"/>
    <s v="N/A"/>
  </r>
  <r>
    <x v="28"/>
    <x v="25"/>
    <x v="3"/>
    <s v="alexkim@email.com"/>
    <x v="0"/>
    <x v="0"/>
    <x v="1"/>
    <n v="15.99"/>
    <x v="2"/>
    <x v="0"/>
    <x v="0"/>
    <x v="0"/>
    <s v="N/A"/>
  </r>
  <r>
    <x v="29"/>
    <x v="7"/>
    <x v="3"/>
    <s v="alexkim@email.com"/>
    <x v="3"/>
    <x v="0"/>
    <x v="4"/>
    <n v="39.99"/>
    <x v="14"/>
    <x v="2"/>
    <x v="0"/>
    <x v="1"/>
    <s v="N/A"/>
  </r>
  <r>
    <x v="30"/>
    <x v="20"/>
    <x v="0"/>
    <s v="johnsmith@yahoo.com"/>
    <x v="7"/>
    <x v="5"/>
    <x v="0"/>
    <n v="49.99"/>
    <x v="20"/>
    <x v="2"/>
    <x v="0"/>
    <x v="0"/>
    <s v="N/A"/>
  </r>
  <r>
    <x v="31"/>
    <x v="26"/>
    <x v="3"/>
    <s v="N/A"/>
    <x v="7"/>
    <x v="5"/>
    <x v="3"/>
    <n v="49.99"/>
    <x v="8"/>
    <x v="2"/>
    <x v="0"/>
    <x v="2"/>
    <s v="N/A"/>
  </r>
  <r>
    <x v="32"/>
    <x v="7"/>
    <x v="4"/>
    <s v="mikebrown@gmail.com"/>
    <x v="4"/>
    <x v="1"/>
    <x v="4"/>
    <n v="14.99"/>
    <x v="6"/>
    <x v="3"/>
    <x v="0"/>
    <x v="2"/>
    <s v="N/A"/>
  </r>
  <r>
    <x v="33"/>
    <x v="27"/>
    <x v="3"/>
    <s v="alexkim@email.com"/>
    <x v="6"/>
    <x v="4"/>
    <x v="5"/>
    <n v="4.99"/>
    <x v="11"/>
    <x v="3"/>
    <x v="3"/>
    <x v="0"/>
    <s v="N/A"/>
  </r>
  <r>
    <x v="34"/>
    <x v="28"/>
    <x v="5"/>
    <s v="emilychen@gmail.com"/>
    <x v="6"/>
    <x v="4"/>
    <x v="3"/>
    <n v="4.99"/>
    <x v="21"/>
    <x v="3"/>
    <x v="0"/>
    <x v="0"/>
    <s v="N/A"/>
  </r>
  <r>
    <x v="35"/>
    <x v="7"/>
    <x v="6"/>
    <s v="sarahjohnson@gmail.com"/>
    <x v="1"/>
    <x v="1"/>
    <x v="4"/>
    <n v="99.99"/>
    <x v="22"/>
    <x v="2"/>
    <x v="2"/>
    <x v="2"/>
    <s v="check"/>
  </r>
  <r>
    <x v="36"/>
    <x v="29"/>
    <x v="7"/>
    <s v="sarahjohnson@email.com"/>
    <x v="0"/>
    <x v="0"/>
    <x v="4"/>
    <n v="15.99"/>
    <x v="9"/>
    <x v="2"/>
    <x v="1"/>
    <x v="1"/>
    <s v="N/A"/>
  </r>
  <r>
    <x v="37"/>
    <x v="30"/>
    <x v="3"/>
    <s v="alexkim@gmail.com"/>
    <x v="7"/>
    <x v="5"/>
    <x v="4"/>
    <n v="49.99"/>
    <x v="13"/>
    <x v="1"/>
    <x v="1"/>
    <x v="0"/>
    <s v="N/A"/>
  </r>
  <r>
    <x v="38"/>
    <x v="7"/>
    <x v="6"/>
    <s v="sarahjohnson@email.com"/>
    <x v="3"/>
    <x v="0"/>
    <x v="4"/>
    <n v="39.99"/>
    <x v="14"/>
    <x v="2"/>
    <x v="2"/>
    <x v="2"/>
    <s v="N/A"/>
  </r>
  <r>
    <x v="39"/>
    <x v="31"/>
    <x v="5"/>
    <s v="emilychen@yahoo.com"/>
    <x v="6"/>
    <x v="4"/>
    <x v="3"/>
    <n v="4.99"/>
    <x v="21"/>
    <x v="1"/>
    <x v="1"/>
    <x v="1"/>
    <s v="N/A"/>
  </r>
  <r>
    <x v="40"/>
    <x v="32"/>
    <x v="6"/>
    <s v="sarahjohnson@yahoo.com"/>
    <x v="6"/>
    <x v="4"/>
    <x v="1"/>
    <n v="4.99"/>
    <x v="2"/>
    <x v="0"/>
    <x v="2"/>
    <x v="0"/>
    <s v="N/A"/>
  </r>
  <r>
    <x v="41"/>
    <x v="33"/>
    <x v="0"/>
    <s v="johnsmith@gmail.com"/>
    <x v="2"/>
    <x v="2"/>
    <x v="5"/>
    <n v="79.989999999999995"/>
    <x v="23"/>
    <x v="2"/>
    <x v="3"/>
    <x v="0"/>
    <s v="N/A"/>
  </r>
  <r>
    <x v="42"/>
    <x v="7"/>
    <x v="5"/>
    <s v="emilychen@yahoo.com"/>
    <x v="5"/>
    <x v="3"/>
    <x v="4"/>
    <n v="59.99"/>
    <x v="24"/>
    <x v="1"/>
    <x v="2"/>
    <x v="0"/>
    <s v="N/A"/>
  </r>
  <r>
    <x v="43"/>
    <x v="34"/>
    <x v="4"/>
    <s v="mikebrown@yahoo.com"/>
    <x v="5"/>
    <x v="3"/>
    <x v="4"/>
    <n v="59.99"/>
    <x v="24"/>
    <x v="2"/>
    <x v="0"/>
    <x v="0"/>
    <s v="N/A"/>
  </r>
  <r>
    <x v="44"/>
    <x v="7"/>
    <x v="5"/>
    <s v="emilychen@gmail.com"/>
    <x v="4"/>
    <x v="1"/>
    <x v="0"/>
    <n v="14.99"/>
    <x v="25"/>
    <x v="2"/>
    <x v="3"/>
    <x v="2"/>
    <s v="N/A"/>
  </r>
  <r>
    <x v="45"/>
    <x v="12"/>
    <x v="1"/>
    <s v="chrislee@gmail.com"/>
    <x v="1"/>
    <x v="1"/>
    <x v="1"/>
    <n v="99.99"/>
    <x v="2"/>
    <x v="2"/>
    <x v="0"/>
    <x v="2"/>
    <s v="N/A"/>
  </r>
  <r>
    <x v="46"/>
    <x v="7"/>
    <x v="0"/>
    <s v="johnsmith@email.com"/>
    <x v="2"/>
    <x v="2"/>
    <x v="1"/>
    <n v="79.989999999999995"/>
    <x v="2"/>
    <x v="2"/>
    <x v="2"/>
    <x v="2"/>
    <s v="N/A"/>
  </r>
  <r>
    <x v="47"/>
    <x v="7"/>
    <x v="4"/>
    <s v="mikebrown@gmail.com"/>
    <x v="0"/>
    <x v="0"/>
    <x v="4"/>
    <n v="15.99"/>
    <x v="9"/>
    <x v="1"/>
    <x v="2"/>
    <x v="2"/>
    <s v="check"/>
  </r>
  <r>
    <x v="48"/>
    <x v="7"/>
    <x v="2"/>
    <s v="janedoe@gmail.com"/>
    <x v="8"/>
    <x v="5"/>
    <x v="5"/>
    <n v="29.99"/>
    <x v="26"/>
    <x v="2"/>
    <x v="2"/>
    <x v="2"/>
    <s v="N/A"/>
  </r>
  <r>
    <x v="49"/>
    <x v="35"/>
    <x v="0"/>
    <s v="johnsmith@email.com"/>
    <x v="7"/>
    <x v="5"/>
    <x v="1"/>
    <n v="49.99"/>
    <x v="2"/>
    <x v="0"/>
    <x v="4"/>
    <x v="1"/>
    <s v="N/A"/>
  </r>
  <r>
    <x v="50"/>
    <x v="36"/>
    <x v="5"/>
    <s v="emilychen@email.com"/>
    <x v="5"/>
    <x v="3"/>
    <x v="3"/>
    <n v="59.99"/>
    <x v="5"/>
    <x v="1"/>
    <x v="3"/>
    <x v="1"/>
    <s v="N/A"/>
  </r>
  <r>
    <x v="51"/>
    <x v="7"/>
    <x v="0"/>
    <s v="johnsmith@yahoo.com"/>
    <x v="7"/>
    <x v="5"/>
    <x v="1"/>
    <n v="49.99"/>
    <x v="2"/>
    <x v="1"/>
    <x v="2"/>
    <x v="2"/>
    <s v="N/A"/>
  </r>
  <r>
    <x v="52"/>
    <x v="7"/>
    <x v="1"/>
    <s v="N/A"/>
    <x v="4"/>
    <x v="1"/>
    <x v="4"/>
    <n v="14.99"/>
    <x v="6"/>
    <x v="2"/>
    <x v="0"/>
    <x v="0"/>
    <s v="N/A"/>
  </r>
  <r>
    <x v="53"/>
    <x v="37"/>
    <x v="4"/>
    <s v="mikebrown@email.com"/>
    <x v="3"/>
    <x v="0"/>
    <x v="4"/>
    <n v="39.99"/>
    <x v="14"/>
    <x v="2"/>
    <x v="2"/>
    <x v="0"/>
    <s v="N/A"/>
  </r>
  <r>
    <x v="54"/>
    <x v="38"/>
    <x v="6"/>
    <s v="sarahjohnson@gmail.com"/>
    <x v="3"/>
    <x v="0"/>
    <x v="2"/>
    <n v="39.99"/>
    <x v="3"/>
    <x v="3"/>
    <x v="0"/>
    <x v="0"/>
    <s v="N/A"/>
  </r>
  <r>
    <x v="55"/>
    <x v="39"/>
    <x v="6"/>
    <s v="sarahjohnson@yahoo.com"/>
    <x v="1"/>
    <x v="1"/>
    <x v="2"/>
    <n v="99.99"/>
    <x v="27"/>
    <x v="1"/>
    <x v="0"/>
    <x v="0"/>
    <s v="N/A"/>
  </r>
  <r>
    <x v="56"/>
    <x v="23"/>
    <x v="0"/>
    <s v="johnsmith@gmail.com"/>
    <x v="8"/>
    <x v="5"/>
    <x v="3"/>
    <n v="29.99"/>
    <x v="28"/>
    <x v="2"/>
    <x v="1"/>
    <x v="2"/>
    <s v="N/A"/>
  </r>
  <r>
    <x v="57"/>
    <x v="40"/>
    <x v="6"/>
    <s v="sarahjohnson@yahoo.com"/>
    <x v="0"/>
    <x v="0"/>
    <x v="4"/>
    <n v="15.99"/>
    <x v="9"/>
    <x v="3"/>
    <x v="2"/>
    <x v="0"/>
    <s v="N/A"/>
  </r>
  <r>
    <x v="58"/>
    <x v="41"/>
    <x v="3"/>
    <s v="alexkim@gmail.com"/>
    <x v="1"/>
    <x v="1"/>
    <x v="5"/>
    <n v="99.99"/>
    <x v="18"/>
    <x v="2"/>
    <x v="4"/>
    <x v="0"/>
    <s v="N/A"/>
  </r>
  <r>
    <x v="59"/>
    <x v="42"/>
    <x v="4"/>
    <s v="mikebrown@email.com"/>
    <x v="8"/>
    <x v="5"/>
    <x v="3"/>
    <n v="29.99"/>
    <x v="28"/>
    <x v="2"/>
    <x v="4"/>
    <x v="2"/>
    <s v="N/A"/>
  </r>
  <r>
    <x v="60"/>
    <x v="43"/>
    <x v="3"/>
    <s v="alexkim@gmail.com"/>
    <x v="2"/>
    <x v="2"/>
    <x v="3"/>
    <n v="79.989999999999995"/>
    <x v="29"/>
    <x v="0"/>
    <x v="1"/>
    <x v="0"/>
    <s v="N/A"/>
  </r>
  <r>
    <x v="61"/>
    <x v="44"/>
    <x v="4"/>
    <s v="mikebrown@gmail.com"/>
    <x v="6"/>
    <x v="4"/>
    <x v="1"/>
    <n v="4.99"/>
    <x v="2"/>
    <x v="1"/>
    <x v="1"/>
    <x v="0"/>
    <s v="N/A"/>
  </r>
  <r>
    <x v="62"/>
    <x v="45"/>
    <x v="5"/>
    <s v="emilychen@yahoo.com"/>
    <x v="5"/>
    <x v="3"/>
    <x v="3"/>
    <n v="59.99"/>
    <x v="5"/>
    <x v="2"/>
    <x v="0"/>
    <x v="2"/>
    <s v="N/A"/>
  </r>
  <r>
    <x v="63"/>
    <x v="7"/>
    <x v="3"/>
    <s v="alexkim@yahoo.com"/>
    <x v="4"/>
    <x v="1"/>
    <x v="5"/>
    <n v="14.99"/>
    <x v="15"/>
    <x v="2"/>
    <x v="2"/>
    <x v="0"/>
    <s v="N/A"/>
  </r>
  <r>
    <x v="64"/>
    <x v="46"/>
    <x v="4"/>
    <s v="mikebrown@email.com"/>
    <x v="6"/>
    <x v="4"/>
    <x v="3"/>
    <n v="4.99"/>
    <x v="21"/>
    <x v="2"/>
    <x v="2"/>
    <x v="0"/>
    <s v="N/A"/>
  </r>
  <r>
    <x v="65"/>
    <x v="47"/>
    <x v="5"/>
    <s v="emilychen@email.com"/>
    <x v="5"/>
    <x v="3"/>
    <x v="0"/>
    <n v="59.99"/>
    <x v="30"/>
    <x v="0"/>
    <x v="0"/>
    <x v="2"/>
    <s v="N/A"/>
  </r>
  <r>
    <x v="66"/>
    <x v="48"/>
    <x v="1"/>
    <s v="chrislee@email.com"/>
    <x v="6"/>
    <x v="4"/>
    <x v="3"/>
    <n v="4.99"/>
    <x v="21"/>
    <x v="2"/>
    <x v="3"/>
    <x v="0"/>
    <s v="N/A"/>
  </r>
  <r>
    <x v="67"/>
    <x v="49"/>
    <x v="7"/>
    <s v="emilychen@email.com"/>
    <x v="8"/>
    <x v="5"/>
    <x v="2"/>
    <n v="29.99"/>
    <x v="31"/>
    <x v="1"/>
    <x v="0"/>
    <x v="0"/>
    <s v="N/A"/>
  </r>
  <r>
    <x v="68"/>
    <x v="50"/>
    <x v="2"/>
    <s v="janedoe@gmail.com"/>
    <x v="6"/>
    <x v="4"/>
    <x v="5"/>
    <n v="4.99"/>
    <x v="11"/>
    <x v="2"/>
    <x v="2"/>
    <x v="0"/>
    <s v="N/A"/>
  </r>
  <r>
    <x v="69"/>
    <x v="51"/>
    <x v="5"/>
    <s v="emilychen@gmail.com"/>
    <x v="3"/>
    <x v="0"/>
    <x v="1"/>
    <n v="39.99"/>
    <x v="2"/>
    <x v="3"/>
    <x v="0"/>
    <x v="0"/>
    <s v="N/A"/>
  </r>
  <r>
    <x v="70"/>
    <x v="7"/>
    <x v="3"/>
    <s v="alexkim@yahoo.com"/>
    <x v="0"/>
    <x v="0"/>
    <x v="1"/>
    <n v="15.99"/>
    <x v="2"/>
    <x v="0"/>
    <x v="0"/>
    <x v="0"/>
    <s v="N/A"/>
  </r>
  <r>
    <x v="71"/>
    <x v="52"/>
    <x v="5"/>
    <s v="emilychen@email.com"/>
    <x v="3"/>
    <x v="0"/>
    <x v="1"/>
    <n v="39.99"/>
    <x v="2"/>
    <x v="0"/>
    <x v="4"/>
    <x v="0"/>
    <s v="N/A"/>
  </r>
  <r>
    <x v="72"/>
    <x v="7"/>
    <x v="1"/>
    <s v="chrislee@gmail.com"/>
    <x v="0"/>
    <x v="0"/>
    <x v="4"/>
    <n v="15.99"/>
    <x v="9"/>
    <x v="3"/>
    <x v="3"/>
    <x v="0"/>
    <s v="N/A"/>
  </r>
  <r>
    <x v="73"/>
    <x v="53"/>
    <x v="1"/>
    <s v="chrislee@gmail.com"/>
    <x v="0"/>
    <x v="0"/>
    <x v="4"/>
    <n v="15.99"/>
    <x v="9"/>
    <x v="2"/>
    <x v="0"/>
    <x v="0"/>
    <s v="N/A"/>
  </r>
  <r>
    <x v="74"/>
    <x v="20"/>
    <x v="4"/>
    <s v="mikebrown@gmail.com"/>
    <x v="7"/>
    <x v="5"/>
    <x v="5"/>
    <n v="49.99"/>
    <x v="32"/>
    <x v="2"/>
    <x v="0"/>
    <x v="0"/>
    <s v="N/A"/>
  </r>
  <r>
    <x v="75"/>
    <x v="7"/>
    <x v="1"/>
    <s v="chrislee@gmail.com"/>
    <x v="5"/>
    <x v="3"/>
    <x v="0"/>
    <n v="59.99"/>
    <x v="30"/>
    <x v="2"/>
    <x v="0"/>
    <x v="0"/>
    <s v="N/A"/>
  </r>
  <r>
    <x v="76"/>
    <x v="54"/>
    <x v="4"/>
    <s v="mikebrown@email.com"/>
    <x v="7"/>
    <x v="5"/>
    <x v="1"/>
    <n v="49.99"/>
    <x v="2"/>
    <x v="1"/>
    <x v="0"/>
    <x v="0"/>
    <s v="N/A"/>
  </r>
  <r>
    <x v="77"/>
    <x v="55"/>
    <x v="5"/>
    <s v="emilychen@email.com"/>
    <x v="2"/>
    <x v="2"/>
    <x v="3"/>
    <n v="79.989999999999995"/>
    <x v="29"/>
    <x v="1"/>
    <x v="4"/>
    <x v="0"/>
    <s v="N/A"/>
  </r>
  <r>
    <x v="78"/>
    <x v="56"/>
    <x v="3"/>
    <s v="alexkim@gmail.com"/>
    <x v="3"/>
    <x v="0"/>
    <x v="4"/>
    <n v="39.99"/>
    <x v="14"/>
    <x v="0"/>
    <x v="2"/>
    <x v="0"/>
    <s v="N/A"/>
  </r>
  <r>
    <x v="79"/>
    <x v="57"/>
    <x v="6"/>
    <s v="sarahjohnson@gmail.com"/>
    <x v="2"/>
    <x v="2"/>
    <x v="3"/>
    <n v="79.989999999999995"/>
    <x v="29"/>
    <x v="3"/>
    <x v="0"/>
    <x v="0"/>
    <s v="N/A"/>
  </r>
  <r>
    <x v="80"/>
    <x v="58"/>
    <x v="5"/>
    <s v="emilychen@email.com"/>
    <x v="7"/>
    <x v="5"/>
    <x v="3"/>
    <n v="49.99"/>
    <x v="8"/>
    <x v="2"/>
    <x v="4"/>
    <x v="1"/>
    <s v="N/A"/>
  </r>
  <r>
    <x v="81"/>
    <x v="59"/>
    <x v="0"/>
    <s v="johnsmith@gmail.com"/>
    <x v="1"/>
    <x v="1"/>
    <x v="1"/>
    <n v="99.99"/>
    <x v="2"/>
    <x v="3"/>
    <x v="1"/>
    <x v="0"/>
    <s v="N/A"/>
  </r>
  <r>
    <x v="82"/>
    <x v="60"/>
    <x v="2"/>
    <s v="janedoe@yahoo.com"/>
    <x v="4"/>
    <x v="1"/>
    <x v="2"/>
    <n v="14.99"/>
    <x v="33"/>
    <x v="1"/>
    <x v="2"/>
    <x v="2"/>
    <s v="N/A"/>
  </r>
  <r>
    <x v="83"/>
    <x v="61"/>
    <x v="3"/>
    <s v="alexkim@gmail.com"/>
    <x v="6"/>
    <x v="4"/>
    <x v="5"/>
    <n v="4.99"/>
    <x v="11"/>
    <x v="2"/>
    <x v="1"/>
    <x v="0"/>
    <s v="N/A"/>
  </r>
  <r>
    <x v="84"/>
    <x v="7"/>
    <x v="1"/>
    <s v="chrislee@yahoo.com"/>
    <x v="4"/>
    <x v="1"/>
    <x v="4"/>
    <n v="14.99"/>
    <x v="6"/>
    <x v="2"/>
    <x v="4"/>
    <x v="0"/>
    <s v="N/A"/>
  </r>
  <r>
    <x v="85"/>
    <x v="0"/>
    <x v="2"/>
    <s v="janedoe@yahoo.com"/>
    <x v="3"/>
    <x v="0"/>
    <x v="5"/>
    <n v="39.99"/>
    <x v="34"/>
    <x v="2"/>
    <x v="4"/>
    <x v="2"/>
    <s v="N/A"/>
  </r>
  <r>
    <x v="86"/>
    <x v="62"/>
    <x v="2"/>
    <s v="N/A"/>
    <x v="1"/>
    <x v="1"/>
    <x v="5"/>
    <n v="99.99"/>
    <x v="18"/>
    <x v="3"/>
    <x v="0"/>
    <x v="0"/>
    <s v="N/A"/>
  </r>
  <r>
    <x v="87"/>
    <x v="63"/>
    <x v="5"/>
    <s v="emilychen@gmail.com"/>
    <x v="4"/>
    <x v="1"/>
    <x v="4"/>
    <n v="14.99"/>
    <x v="6"/>
    <x v="2"/>
    <x v="1"/>
    <x v="1"/>
    <s v="N/A"/>
  </r>
  <r>
    <x v="88"/>
    <x v="7"/>
    <x v="7"/>
    <s v="emilychen@email.com"/>
    <x v="1"/>
    <x v="1"/>
    <x v="5"/>
    <n v="99.99"/>
    <x v="18"/>
    <x v="2"/>
    <x v="0"/>
    <x v="2"/>
    <s v="N/A"/>
  </r>
  <r>
    <x v="89"/>
    <x v="64"/>
    <x v="7"/>
    <s v="sarahjohnson@gmail.com"/>
    <x v="5"/>
    <x v="3"/>
    <x v="3"/>
    <n v="59.99"/>
    <x v="5"/>
    <x v="0"/>
    <x v="4"/>
    <x v="1"/>
    <s v="N/A"/>
  </r>
  <r>
    <x v="90"/>
    <x v="7"/>
    <x v="4"/>
    <s v="mikebrown@gmail.com"/>
    <x v="1"/>
    <x v="1"/>
    <x v="5"/>
    <n v="99.99"/>
    <x v="18"/>
    <x v="2"/>
    <x v="1"/>
    <x v="1"/>
    <s v="N/A"/>
  </r>
  <r>
    <x v="91"/>
    <x v="7"/>
    <x v="2"/>
    <s v="janedoe@yahoo.com"/>
    <x v="3"/>
    <x v="0"/>
    <x v="1"/>
    <n v="39.99"/>
    <x v="2"/>
    <x v="0"/>
    <x v="0"/>
    <x v="1"/>
    <s v="N/A"/>
  </r>
  <r>
    <x v="92"/>
    <x v="65"/>
    <x v="4"/>
    <s v="mikebrown@gmail.com"/>
    <x v="7"/>
    <x v="5"/>
    <x v="4"/>
    <n v="49.99"/>
    <x v="13"/>
    <x v="2"/>
    <x v="4"/>
    <x v="0"/>
    <s v="N/A"/>
  </r>
  <r>
    <x v="93"/>
    <x v="66"/>
    <x v="3"/>
    <s v="N/A"/>
    <x v="6"/>
    <x v="4"/>
    <x v="0"/>
    <n v="4.99"/>
    <x v="35"/>
    <x v="2"/>
    <x v="4"/>
    <x v="0"/>
    <s v="N/A"/>
  </r>
  <r>
    <x v="94"/>
    <x v="7"/>
    <x v="2"/>
    <s v="janedoe@email.com"/>
    <x v="1"/>
    <x v="1"/>
    <x v="4"/>
    <n v="99.99"/>
    <x v="22"/>
    <x v="3"/>
    <x v="0"/>
    <x v="1"/>
    <s v="N/A"/>
  </r>
  <r>
    <x v="95"/>
    <x v="7"/>
    <x v="5"/>
    <s v="emilychen@gmail.com"/>
    <x v="2"/>
    <x v="2"/>
    <x v="3"/>
    <n v="79.989999999999995"/>
    <x v="29"/>
    <x v="2"/>
    <x v="0"/>
    <x v="1"/>
    <s v="N/A"/>
  </r>
  <r>
    <x v="96"/>
    <x v="67"/>
    <x v="3"/>
    <s v="alexkim@email.com"/>
    <x v="8"/>
    <x v="5"/>
    <x v="1"/>
    <n v="29.99"/>
    <x v="2"/>
    <x v="1"/>
    <x v="3"/>
    <x v="0"/>
    <s v="N/A"/>
  </r>
  <r>
    <x v="97"/>
    <x v="68"/>
    <x v="6"/>
    <s v="sarahjohnson@gmail.com"/>
    <x v="3"/>
    <x v="0"/>
    <x v="2"/>
    <n v="39.99"/>
    <x v="3"/>
    <x v="2"/>
    <x v="0"/>
    <x v="1"/>
    <s v="N/A"/>
  </r>
  <r>
    <x v="98"/>
    <x v="69"/>
    <x v="1"/>
    <s v="chrislee@email.com"/>
    <x v="7"/>
    <x v="5"/>
    <x v="1"/>
    <n v="49.99"/>
    <x v="2"/>
    <x v="1"/>
    <x v="4"/>
    <x v="2"/>
    <s v="N/A"/>
  </r>
  <r>
    <x v="99"/>
    <x v="70"/>
    <x v="4"/>
    <s v="mikebrown@yahoo.com"/>
    <x v="6"/>
    <x v="4"/>
    <x v="1"/>
    <n v="4.99"/>
    <x v="2"/>
    <x v="3"/>
    <x v="0"/>
    <x v="0"/>
    <s v="N/A"/>
  </r>
  <r>
    <x v="100"/>
    <x v="71"/>
    <x v="0"/>
    <s v="johnsmith@email.com"/>
    <x v="3"/>
    <x v="0"/>
    <x v="0"/>
    <n v="39.99"/>
    <x v="10"/>
    <x v="2"/>
    <x v="3"/>
    <x v="0"/>
    <s v="N/A"/>
  </r>
  <r>
    <x v="101"/>
    <x v="72"/>
    <x v="4"/>
    <s v="mikebrown@gmail.com"/>
    <x v="8"/>
    <x v="5"/>
    <x v="5"/>
    <n v="29.99"/>
    <x v="26"/>
    <x v="1"/>
    <x v="2"/>
    <x v="0"/>
    <s v="N/A"/>
  </r>
  <r>
    <x v="102"/>
    <x v="7"/>
    <x v="3"/>
    <s v="alexkim@gmail.com"/>
    <x v="3"/>
    <x v="0"/>
    <x v="1"/>
    <n v="39.99"/>
    <x v="2"/>
    <x v="1"/>
    <x v="0"/>
    <x v="0"/>
    <s v="N/A"/>
  </r>
  <r>
    <x v="103"/>
    <x v="7"/>
    <x v="0"/>
    <s v="johnsmith@yahoo.com"/>
    <x v="6"/>
    <x v="4"/>
    <x v="1"/>
    <n v="4.99"/>
    <x v="2"/>
    <x v="2"/>
    <x v="0"/>
    <x v="1"/>
    <s v="N/A"/>
  </r>
  <r>
    <x v="104"/>
    <x v="73"/>
    <x v="2"/>
    <s v="janedoe@email.com"/>
    <x v="4"/>
    <x v="1"/>
    <x v="0"/>
    <n v="14.99"/>
    <x v="25"/>
    <x v="2"/>
    <x v="0"/>
    <x v="1"/>
    <s v="N/A"/>
  </r>
  <r>
    <x v="105"/>
    <x v="68"/>
    <x v="4"/>
    <s v="mikebrown@yahoo.com"/>
    <x v="0"/>
    <x v="0"/>
    <x v="4"/>
    <n v="15.99"/>
    <x v="9"/>
    <x v="2"/>
    <x v="2"/>
    <x v="1"/>
    <s v="N/A"/>
  </r>
  <r>
    <x v="106"/>
    <x v="74"/>
    <x v="4"/>
    <s v="mikebrown@gmail.com"/>
    <x v="8"/>
    <x v="5"/>
    <x v="0"/>
    <n v="29.99"/>
    <x v="16"/>
    <x v="1"/>
    <x v="2"/>
    <x v="2"/>
    <s v="N/A"/>
  </r>
  <r>
    <x v="107"/>
    <x v="7"/>
    <x v="7"/>
    <s v="emilychen@yahoo.com"/>
    <x v="6"/>
    <x v="4"/>
    <x v="4"/>
    <n v="4.99"/>
    <x v="36"/>
    <x v="2"/>
    <x v="4"/>
    <x v="2"/>
    <s v="N/A"/>
  </r>
  <r>
    <x v="108"/>
    <x v="7"/>
    <x v="0"/>
    <s v="johnsmith@gmail.com"/>
    <x v="0"/>
    <x v="0"/>
    <x v="0"/>
    <n v="15.99"/>
    <x v="0"/>
    <x v="3"/>
    <x v="0"/>
    <x v="2"/>
    <s v="N/A"/>
  </r>
  <r>
    <x v="109"/>
    <x v="75"/>
    <x v="5"/>
    <s v="emilychen@yahoo.com"/>
    <x v="7"/>
    <x v="5"/>
    <x v="4"/>
    <n v="49.99"/>
    <x v="13"/>
    <x v="1"/>
    <x v="0"/>
    <x v="2"/>
    <s v="N/A"/>
  </r>
  <r>
    <x v="110"/>
    <x v="76"/>
    <x v="0"/>
    <s v="johnsmith@email.com"/>
    <x v="4"/>
    <x v="1"/>
    <x v="3"/>
    <n v="14.99"/>
    <x v="4"/>
    <x v="2"/>
    <x v="1"/>
    <x v="0"/>
    <s v="N/A"/>
  </r>
  <r>
    <x v="111"/>
    <x v="7"/>
    <x v="0"/>
    <s v="johnsmith@yahoo.com"/>
    <x v="4"/>
    <x v="1"/>
    <x v="4"/>
    <n v="14.99"/>
    <x v="6"/>
    <x v="2"/>
    <x v="1"/>
    <x v="0"/>
    <s v="N/A"/>
  </r>
  <r>
    <x v="112"/>
    <x v="77"/>
    <x v="6"/>
    <s v="sarahjohnson@yahoo.com"/>
    <x v="5"/>
    <x v="3"/>
    <x v="1"/>
    <n v="59.99"/>
    <x v="2"/>
    <x v="2"/>
    <x v="3"/>
    <x v="0"/>
    <s v="N/A"/>
  </r>
  <r>
    <x v="113"/>
    <x v="78"/>
    <x v="7"/>
    <s v="N/A"/>
    <x v="2"/>
    <x v="2"/>
    <x v="4"/>
    <n v="79.989999999999995"/>
    <x v="19"/>
    <x v="2"/>
    <x v="0"/>
    <x v="0"/>
    <s v="N/A"/>
  </r>
  <r>
    <x v="114"/>
    <x v="79"/>
    <x v="0"/>
    <s v="johnsmith@yahoo.com"/>
    <x v="4"/>
    <x v="1"/>
    <x v="4"/>
    <n v="14.99"/>
    <x v="6"/>
    <x v="2"/>
    <x v="0"/>
    <x v="0"/>
    <s v="N/A"/>
  </r>
  <r>
    <x v="115"/>
    <x v="80"/>
    <x v="1"/>
    <s v="chrislee@yahoo.com"/>
    <x v="0"/>
    <x v="0"/>
    <x v="4"/>
    <n v="15.99"/>
    <x v="9"/>
    <x v="2"/>
    <x v="0"/>
    <x v="0"/>
    <s v="N/A"/>
  </r>
  <r>
    <x v="116"/>
    <x v="7"/>
    <x v="5"/>
    <s v="emilychen@yahoo.com"/>
    <x v="8"/>
    <x v="5"/>
    <x v="4"/>
    <n v="29.99"/>
    <x v="37"/>
    <x v="3"/>
    <x v="4"/>
    <x v="1"/>
    <s v="N/A"/>
  </r>
  <r>
    <x v="117"/>
    <x v="81"/>
    <x v="3"/>
    <s v="alexkim@gmail.com"/>
    <x v="5"/>
    <x v="3"/>
    <x v="4"/>
    <n v="59.99"/>
    <x v="24"/>
    <x v="2"/>
    <x v="1"/>
    <x v="0"/>
    <s v="N/A"/>
  </r>
  <r>
    <x v="118"/>
    <x v="82"/>
    <x v="0"/>
    <s v="johnsmith@yahoo.com"/>
    <x v="2"/>
    <x v="2"/>
    <x v="4"/>
    <n v="79.989999999999995"/>
    <x v="19"/>
    <x v="2"/>
    <x v="2"/>
    <x v="2"/>
    <s v="N/A"/>
  </r>
  <r>
    <x v="119"/>
    <x v="35"/>
    <x v="0"/>
    <s v="johnsmith@email.com"/>
    <x v="7"/>
    <x v="5"/>
    <x v="5"/>
    <n v="49.99"/>
    <x v="32"/>
    <x v="3"/>
    <x v="1"/>
    <x v="0"/>
    <s v="N/A"/>
  </r>
  <r>
    <x v="120"/>
    <x v="83"/>
    <x v="0"/>
    <s v="N/A"/>
    <x v="1"/>
    <x v="1"/>
    <x v="0"/>
    <n v="99.99"/>
    <x v="1"/>
    <x v="2"/>
    <x v="0"/>
    <x v="0"/>
    <s v="N/A"/>
  </r>
  <r>
    <x v="121"/>
    <x v="84"/>
    <x v="4"/>
    <s v="mikebrown@email.com"/>
    <x v="1"/>
    <x v="1"/>
    <x v="3"/>
    <n v="99.99"/>
    <x v="12"/>
    <x v="2"/>
    <x v="0"/>
    <x v="1"/>
    <s v="N/A"/>
  </r>
  <r>
    <x v="122"/>
    <x v="7"/>
    <x v="2"/>
    <s v="janedoe@email.com"/>
    <x v="6"/>
    <x v="4"/>
    <x v="4"/>
    <n v="4.99"/>
    <x v="36"/>
    <x v="2"/>
    <x v="0"/>
    <x v="2"/>
    <s v="N/A"/>
  </r>
  <r>
    <x v="123"/>
    <x v="85"/>
    <x v="4"/>
    <s v="mikebrown@gmail.com"/>
    <x v="6"/>
    <x v="4"/>
    <x v="4"/>
    <n v="4.99"/>
    <x v="36"/>
    <x v="2"/>
    <x v="0"/>
    <x v="0"/>
    <s v="N/A"/>
  </r>
  <r>
    <x v="124"/>
    <x v="86"/>
    <x v="1"/>
    <s v="chrislee@gmail.com"/>
    <x v="6"/>
    <x v="4"/>
    <x v="3"/>
    <n v="4.99"/>
    <x v="21"/>
    <x v="2"/>
    <x v="0"/>
    <x v="0"/>
    <s v="N/A"/>
  </r>
  <r>
    <x v="125"/>
    <x v="87"/>
    <x v="4"/>
    <s v="mikebrown@yahoo.com"/>
    <x v="2"/>
    <x v="2"/>
    <x v="0"/>
    <n v="79.989999999999995"/>
    <x v="7"/>
    <x v="2"/>
    <x v="0"/>
    <x v="0"/>
    <s v="check"/>
  </r>
  <r>
    <x v="126"/>
    <x v="7"/>
    <x v="0"/>
    <s v="johnsmith@gmail.com"/>
    <x v="1"/>
    <x v="1"/>
    <x v="3"/>
    <n v="99.99"/>
    <x v="12"/>
    <x v="1"/>
    <x v="2"/>
    <x v="0"/>
    <s v="N/A"/>
  </r>
  <r>
    <x v="127"/>
    <x v="7"/>
    <x v="0"/>
    <s v="johnsmith@gmail.com"/>
    <x v="5"/>
    <x v="3"/>
    <x v="5"/>
    <n v="59.99"/>
    <x v="38"/>
    <x v="2"/>
    <x v="2"/>
    <x v="0"/>
    <s v="N/A"/>
  </r>
  <r>
    <x v="128"/>
    <x v="88"/>
    <x v="1"/>
    <s v="chrislee@gmail.com"/>
    <x v="3"/>
    <x v="0"/>
    <x v="1"/>
    <n v="39.99"/>
    <x v="2"/>
    <x v="0"/>
    <x v="2"/>
    <x v="0"/>
    <s v="N/A"/>
  </r>
  <r>
    <x v="129"/>
    <x v="89"/>
    <x v="3"/>
    <s v="alexkim@gmail.com"/>
    <x v="2"/>
    <x v="2"/>
    <x v="2"/>
    <n v="79.989999999999995"/>
    <x v="39"/>
    <x v="0"/>
    <x v="4"/>
    <x v="0"/>
    <s v="N/A"/>
  </r>
  <r>
    <x v="130"/>
    <x v="90"/>
    <x v="2"/>
    <s v="N/A"/>
    <x v="4"/>
    <x v="1"/>
    <x v="1"/>
    <n v="14.99"/>
    <x v="2"/>
    <x v="2"/>
    <x v="4"/>
    <x v="0"/>
    <s v="N/A"/>
  </r>
  <r>
    <x v="131"/>
    <x v="91"/>
    <x v="4"/>
    <s v="mikebrown@gmail.com"/>
    <x v="4"/>
    <x v="1"/>
    <x v="5"/>
    <n v="14.99"/>
    <x v="15"/>
    <x v="2"/>
    <x v="0"/>
    <x v="2"/>
    <s v="N/A"/>
  </r>
  <r>
    <x v="132"/>
    <x v="92"/>
    <x v="6"/>
    <s v="sarahjohnson@email.com"/>
    <x v="5"/>
    <x v="3"/>
    <x v="3"/>
    <n v="59.99"/>
    <x v="5"/>
    <x v="1"/>
    <x v="0"/>
    <x v="1"/>
    <s v="N/A"/>
  </r>
  <r>
    <x v="133"/>
    <x v="7"/>
    <x v="7"/>
    <s v="alexkim@email.com"/>
    <x v="5"/>
    <x v="3"/>
    <x v="1"/>
    <n v="59.99"/>
    <x v="2"/>
    <x v="0"/>
    <x v="0"/>
    <x v="0"/>
    <s v="N/A"/>
  </r>
  <r>
    <x v="134"/>
    <x v="7"/>
    <x v="3"/>
    <s v="alexkim@yahoo.com"/>
    <x v="4"/>
    <x v="1"/>
    <x v="4"/>
    <n v="14.99"/>
    <x v="6"/>
    <x v="1"/>
    <x v="2"/>
    <x v="0"/>
    <s v="check"/>
  </r>
  <r>
    <x v="135"/>
    <x v="93"/>
    <x v="3"/>
    <s v="alexkim@email.com"/>
    <x v="1"/>
    <x v="1"/>
    <x v="0"/>
    <n v="99.99"/>
    <x v="1"/>
    <x v="2"/>
    <x v="0"/>
    <x v="0"/>
    <s v="N/A"/>
  </r>
  <r>
    <x v="136"/>
    <x v="7"/>
    <x v="4"/>
    <s v="mikebrown@email.com"/>
    <x v="1"/>
    <x v="1"/>
    <x v="3"/>
    <n v="99.99"/>
    <x v="12"/>
    <x v="1"/>
    <x v="3"/>
    <x v="0"/>
    <s v="N/A"/>
  </r>
  <r>
    <x v="137"/>
    <x v="7"/>
    <x v="0"/>
    <s v="johnsmith@email.com"/>
    <x v="2"/>
    <x v="2"/>
    <x v="0"/>
    <n v="79.989999999999995"/>
    <x v="7"/>
    <x v="1"/>
    <x v="3"/>
    <x v="0"/>
    <s v="N/A"/>
  </r>
  <r>
    <x v="138"/>
    <x v="7"/>
    <x v="6"/>
    <s v="sarahjohnson@yahoo.com"/>
    <x v="1"/>
    <x v="1"/>
    <x v="5"/>
    <n v="99.99"/>
    <x v="18"/>
    <x v="2"/>
    <x v="4"/>
    <x v="0"/>
    <s v="N/A"/>
  </r>
  <r>
    <x v="139"/>
    <x v="7"/>
    <x v="0"/>
    <s v="johnsmith@yahoo.com"/>
    <x v="5"/>
    <x v="3"/>
    <x v="0"/>
    <n v="59.99"/>
    <x v="30"/>
    <x v="0"/>
    <x v="1"/>
    <x v="2"/>
    <s v="N/A"/>
  </r>
  <r>
    <x v="140"/>
    <x v="7"/>
    <x v="6"/>
    <s v="sarahjohnson@email.com"/>
    <x v="6"/>
    <x v="4"/>
    <x v="4"/>
    <n v="4.99"/>
    <x v="36"/>
    <x v="1"/>
    <x v="0"/>
    <x v="0"/>
    <s v="N/A"/>
  </r>
  <r>
    <x v="141"/>
    <x v="23"/>
    <x v="3"/>
    <s v="alexkim@yahoo.com"/>
    <x v="8"/>
    <x v="5"/>
    <x v="4"/>
    <n v="29.99"/>
    <x v="37"/>
    <x v="0"/>
    <x v="2"/>
    <x v="1"/>
    <s v="N/A"/>
  </r>
  <r>
    <x v="142"/>
    <x v="94"/>
    <x v="0"/>
    <s v="johnsmith@gmail.com"/>
    <x v="6"/>
    <x v="4"/>
    <x v="3"/>
    <n v="4.99"/>
    <x v="21"/>
    <x v="3"/>
    <x v="2"/>
    <x v="0"/>
    <s v="N/A"/>
  </r>
  <r>
    <x v="143"/>
    <x v="90"/>
    <x v="5"/>
    <s v="emilychen@yahoo.com"/>
    <x v="1"/>
    <x v="1"/>
    <x v="1"/>
    <n v="99.99"/>
    <x v="2"/>
    <x v="3"/>
    <x v="4"/>
    <x v="2"/>
    <s v="N/A"/>
  </r>
  <r>
    <x v="144"/>
    <x v="95"/>
    <x v="1"/>
    <s v="chrislee@email.com"/>
    <x v="1"/>
    <x v="1"/>
    <x v="1"/>
    <n v="99.99"/>
    <x v="2"/>
    <x v="1"/>
    <x v="2"/>
    <x v="2"/>
    <s v="N/A"/>
  </r>
  <r>
    <x v="145"/>
    <x v="7"/>
    <x v="6"/>
    <s v="sarahjohnson@yahoo.com"/>
    <x v="4"/>
    <x v="1"/>
    <x v="1"/>
    <n v="14.99"/>
    <x v="2"/>
    <x v="2"/>
    <x v="0"/>
    <x v="2"/>
    <s v="N/A"/>
  </r>
  <r>
    <x v="146"/>
    <x v="96"/>
    <x v="3"/>
    <s v="alexkim@email.com"/>
    <x v="0"/>
    <x v="0"/>
    <x v="5"/>
    <n v="15.99"/>
    <x v="40"/>
    <x v="2"/>
    <x v="0"/>
    <x v="1"/>
    <s v="N/A"/>
  </r>
  <r>
    <x v="147"/>
    <x v="97"/>
    <x v="3"/>
    <s v="alexkim@gmail.com"/>
    <x v="2"/>
    <x v="2"/>
    <x v="5"/>
    <n v="79.989999999999995"/>
    <x v="23"/>
    <x v="0"/>
    <x v="0"/>
    <x v="2"/>
    <s v="check"/>
  </r>
  <r>
    <x v="148"/>
    <x v="98"/>
    <x v="5"/>
    <s v="emilychen@email.com"/>
    <x v="4"/>
    <x v="1"/>
    <x v="1"/>
    <n v="14.99"/>
    <x v="2"/>
    <x v="2"/>
    <x v="0"/>
    <x v="0"/>
    <s v="N/A"/>
  </r>
  <r>
    <x v="149"/>
    <x v="99"/>
    <x v="1"/>
    <s v="chrislee@gmail.com"/>
    <x v="1"/>
    <x v="1"/>
    <x v="2"/>
    <n v="99.99"/>
    <x v="27"/>
    <x v="2"/>
    <x v="0"/>
    <x v="0"/>
    <s v="N/A"/>
  </r>
  <r>
    <x v="150"/>
    <x v="8"/>
    <x v="4"/>
    <s v="mikebrown@email.com"/>
    <x v="7"/>
    <x v="5"/>
    <x v="4"/>
    <n v="49.99"/>
    <x v="13"/>
    <x v="0"/>
    <x v="0"/>
    <x v="2"/>
    <s v="N/A"/>
  </r>
  <r>
    <x v="151"/>
    <x v="7"/>
    <x v="1"/>
    <s v="chrislee@gmail.com"/>
    <x v="0"/>
    <x v="0"/>
    <x v="4"/>
    <n v="15.99"/>
    <x v="9"/>
    <x v="2"/>
    <x v="0"/>
    <x v="1"/>
    <s v="N/A"/>
  </r>
  <r>
    <x v="152"/>
    <x v="7"/>
    <x v="2"/>
    <s v="janedoe@gmail.com"/>
    <x v="7"/>
    <x v="5"/>
    <x v="4"/>
    <n v="49.99"/>
    <x v="13"/>
    <x v="2"/>
    <x v="2"/>
    <x v="0"/>
    <s v="N/A"/>
  </r>
  <r>
    <x v="153"/>
    <x v="7"/>
    <x v="5"/>
    <s v="emilychen@gmail.com"/>
    <x v="8"/>
    <x v="5"/>
    <x v="0"/>
    <n v="29.99"/>
    <x v="16"/>
    <x v="3"/>
    <x v="3"/>
    <x v="0"/>
    <s v="check"/>
  </r>
  <r>
    <x v="154"/>
    <x v="87"/>
    <x v="4"/>
    <s v="mikebrown@email.com"/>
    <x v="0"/>
    <x v="0"/>
    <x v="4"/>
    <n v="15.99"/>
    <x v="9"/>
    <x v="1"/>
    <x v="2"/>
    <x v="0"/>
    <s v="N/A"/>
  </r>
  <r>
    <x v="155"/>
    <x v="100"/>
    <x v="3"/>
    <s v="alexkim@gmail.com"/>
    <x v="1"/>
    <x v="1"/>
    <x v="3"/>
    <n v="99.99"/>
    <x v="12"/>
    <x v="2"/>
    <x v="0"/>
    <x v="0"/>
    <s v="N/A"/>
  </r>
  <r>
    <x v="156"/>
    <x v="7"/>
    <x v="5"/>
    <s v="emilychen@email.com"/>
    <x v="8"/>
    <x v="5"/>
    <x v="2"/>
    <n v="29.99"/>
    <x v="31"/>
    <x v="0"/>
    <x v="3"/>
    <x v="2"/>
    <s v="N/A"/>
  </r>
  <r>
    <x v="157"/>
    <x v="101"/>
    <x v="6"/>
    <s v="sarahjohnson@email.com"/>
    <x v="3"/>
    <x v="0"/>
    <x v="4"/>
    <n v="39.99"/>
    <x v="14"/>
    <x v="2"/>
    <x v="0"/>
    <x v="0"/>
    <s v="N/A"/>
  </r>
  <r>
    <x v="158"/>
    <x v="102"/>
    <x v="3"/>
    <s v="alexkim@email.com"/>
    <x v="2"/>
    <x v="2"/>
    <x v="3"/>
    <n v="79.989999999999995"/>
    <x v="29"/>
    <x v="3"/>
    <x v="4"/>
    <x v="0"/>
    <s v="N/A"/>
  </r>
  <r>
    <x v="159"/>
    <x v="103"/>
    <x v="1"/>
    <s v="chrislee@email.com"/>
    <x v="5"/>
    <x v="3"/>
    <x v="4"/>
    <n v="59.99"/>
    <x v="24"/>
    <x v="2"/>
    <x v="2"/>
    <x v="2"/>
    <s v="N/A"/>
  </r>
  <r>
    <x v="160"/>
    <x v="7"/>
    <x v="6"/>
    <s v="sarahjohnson@yahoo.com"/>
    <x v="6"/>
    <x v="4"/>
    <x v="3"/>
    <n v="4.99"/>
    <x v="21"/>
    <x v="2"/>
    <x v="2"/>
    <x v="2"/>
    <s v="N/A"/>
  </r>
  <r>
    <x v="161"/>
    <x v="104"/>
    <x v="4"/>
    <s v="mikebrown@gmail.com"/>
    <x v="3"/>
    <x v="0"/>
    <x v="1"/>
    <n v="39.99"/>
    <x v="2"/>
    <x v="0"/>
    <x v="2"/>
    <x v="1"/>
    <s v="N/A"/>
  </r>
  <r>
    <x v="162"/>
    <x v="7"/>
    <x v="5"/>
    <s v="emilychen@yahoo.com"/>
    <x v="3"/>
    <x v="0"/>
    <x v="4"/>
    <n v="39.99"/>
    <x v="14"/>
    <x v="1"/>
    <x v="0"/>
    <x v="0"/>
    <s v="N/A"/>
  </r>
  <r>
    <x v="163"/>
    <x v="105"/>
    <x v="6"/>
    <s v="sarahjohnson@email.com"/>
    <x v="3"/>
    <x v="0"/>
    <x v="2"/>
    <n v="39.99"/>
    <x v="3"/>
    <x v="2"/>
    <x v="4"/>
    <x v="1"/>
    <s v="N/A"/>
  </r>
  <r>
    <x v="164"/>
    <x v="106"/>
    <x v="1"/>
    <s v="chrislee@yahoo.com"/>
    <x v="6"/>
    <x v="4"/>
    <x v="0"/>
    <n v="4.99"/>
    <x v="35"/>
    <x v="0"/>
    <x v="2"/>
    <x v="2"/>
    <s v="N/A"/>
  </r>
  <r>
    <x v="165"/>
    <x v="107"/>
    <x v="1"/>
    <s v="chrislee@gmail.com"/>
    <x v="0"/>
    <x v="0"/>
    <x v="0"/>
    <n v="15.99"/>
    <x v="0"/>
    <x v="3"/>
    <x v="3"/>
    <x v="0"/>
    <s v="N/A"/>
  </r>
  <r>
    <x v="166"/>
    <x v="90"/>
    <x v="3"/>
    <s v="N/A"/>
    <x v="2"/>
    <x v="2"/>
    <x v="5"/>
    <n v="79.989999999999995"/>
    <x v="23"/>
    <x v="2"/>
    <x v="0"/>
    <x v="0"/>
    <s v="N/A"/>
  </r>
  <r>
    <x v="167"/>
    <x v="108"/>
    <x v="4"/>
    <s v="mikebrown@email.com"/>
    <x v="3"/>
    <x v="0"/>
    <x v="1"/>
    <n v="39.99"/>
    <x v="2"/>
    <x v="2"/>
    <x v="4"/>
    <x v="1"/>
    <s v="N/A"/>
  </r>
  <r>
    <x v="168"/>
    <x v="109"/>
    <x v="2"/>
    <s v="janedoe@email.com"/>
    <x v="8"/>
    <x v="5"/>
    <x v="5"/>
    <n v="29.99"/>
    <x v="26"/>
    <x v="2"/>
    <x v="0"/>
    <x v="2"/>
    <s v="N/A"/>
  </r>
  <r>
    <x v="169"/>
    <x v="49"/>
    <x v="7"/>
    <s v="alexkim@email.com"/>
    <x v="4"/>
    <x v="1"/>
    <x v="1"/>
    <n v="14.99"/>
    <x v="2"/>
    <x v="2"/>
    <x v="4"/>
    <x v="0"/>
    <s v="N/A"/>
  </r>
  <r>
    <x v="170"/>
    <x v="7"/>
    <x v="6"/>
    <s v="sarahjohnson@yahoo.com"/>
    <x v="2"/>
    <x v="2"/>
    <x v="5"/>
    <n v="79.989999999999995"/>
    <x v="23"/>
    <x v="2"/>
    <x v="1"/>
    <x v="0"/>
    <s v="N/A"/>
  </r>
  <r>
    <x v="171"/>
    <x v="86"/>
    <x v="2"/>
    <s v="janedoe@email.com"/>
    <x v="0"/>
    <x v="0"/>
    <x v="4"/>
    <n v="15.99"/>
    <x v="9"/>
    <x v="2"/>
    <x v="3"/>
    <x v="1"/>
    <s v="N/A"/>
  </r>
  <r>
    <x v="172"/>
    <x v="7"/>
    <x v="0"/>
    <s v="johnsmith@gmail.com"/>
    <x v="6"/>
    <x v="4"/>
    <x v="0"/>
    <n v="4.99"/>
    <x v="35"/>
    <x v="3"/>
    <x v="2"/>
    <x v="0"/>
    <s v="N/A"/>
  </r>
  <r>
    <x v="173"/>
    <x v="110"/>
    <x v="6"/>
    <s v="sarahjohnson@email.com"/>
    <x v="1"/>
    <x v="1"/>
    <x v="4"/>
    <n v="99.99"/>
    <x v="22"/>
    <x v="3"/>
    <x v="4"/>
    <x v="0"/>
    <s v="N/A"/>
  </r>
  <r>
    <x v="174"/>
    <x v="111"/>
    <x v="0"/>
    <s v="N/A"/>
    <x v="0"/>
    <x v="0"/>
    <x v="0"/>
    <n v="15.99"/>
    <x v="0"/>
    <x v="0"/>
    <x v="2"/>
    <x v="1"/>
    <s v="N/A"/>
  </r>
  <r>
    <x v="175"/>
    <x v="7"/>
    <x v="2"/>
    <s v="janedoe@gmail.com"/>
    <x v="6"/>
    <x v="4"/>
    <x v="2"/>
    <n v="4.99"/>
    <x v="41"/>
    <x v="2"/>
    <x v="0"/>
    <x v="1"/>
    <s v="N/A"/>
  </r>
  <r>
    <x v="176"/>
    <x v="112"/>
    <x v="1"/>
    <s v="chrislee@gmail.com"/>
    <x v="6"/>
    <x v="4"/>
    <x v="1"/>
    <n v="4.99"/>
    <x v="2"/>
    <x v="2"/>
    <x v="1"/>
    <x v="2"/>
    <s v="N/A"/>
  </r>
  <r>
    <x v="177"/>
    <x v="113"/>
    <x v="0"/>
    <s v="johnsmith@yahoo.com"/>
    <x v="5"/>
    <x v="3"/>
    <x v="3"/>
    <n v="59.99"/>
    <x v="5"/>
    <x v="2"/>
    <x v="4"/>
    <x v="0"/>
    <s v="N/A"/>
  </r>
  <r>
    <x v="178"/>
    <x v="7"/>
    <x v="6"/>
    <s v="sarahjohnson@yahoo.com"/>
    <x v="7"/>
    <x v="5"/>
    <x v="0"/>
    <n v="49.99"/>
    <x v="20"/>
    <x v="3"/>
    <x v="1"/>
    <x v="0"/>
    <s v="N/A"/>
  </r>
  <r>
    <x v="179"/>
    <x v="114"/>
    <x v="4"/>
    <s v="mikebrown@yahoo.com"/>
    <x v="0"/>
    <x v="0"/>
    <x v="2"/>
    <n v="15.99"/>
    <x v="42"/>
    <x v="0"/>
    <x v="0"/>
    <x v="0"/>
    <s v="check"/>
  </r>
  <r>
    <x v="180"/>
    <x v="115"/>
    <x v="6"/>
    <s v="sarahjohnson@gmail.com"/>
    <x v="1"/>
    <x v="1"/>
    <x v="4"/>
    <n v="99.99"/>
    <x v="22"/>
    <x v="1"/>
    <x v="3"/>
    <x v="2"/>
    <s v="N/A"/>
  </r>
  <r>
    <x v="181"/>
    <x v="116"/>
    <x v="4"/>
    <s v="mikebrown@email.com"/>
    <x v="3"/>
    <x v="0"/>
    <x v="5"/>
    <n v="39.99"/>
    <x v="34"/>
    <x v="2"/>
    <x v="3"/>
    <x v="2"/>
    <s v="N/A"/>
  </r>
  <r>
    <x v="182"/>
    <x v="7"/>
    <x v="7"/>
    <s v="johnsmith@gmail.com"/>
    <x v="4"/>
    <x v="1"/>
    <x v="1"/>
    <n v="14.99"/>
    <x v="2"/>
    <x v="0"/>
    <x v="0"/>
    <x v="0"/>
    <s v="check"/>
  </r>
  <r>
    <x v="183"/>
    <x v="48"/>
    <x v="7"/>
    <s v="janedoe@email.com"/>
    <x v="3"/>
    <x v="0"/>
    <x v="5"/>
    <n v="39.99"/>
    <x v="34"/>
    <x v="3"/>
    <x v="2"/>
    <x v="1"/>
    <s v="N/A"/>
  </r>
  <r>
    <x v="184"/>
    <x v="117"/>
    <x v="0"/>
    <s v="johnsmith@yahoo.com"/>
    <x v="7"/>
    <x v="5"/>
    <x v="0"/>
    <n v="49.99"/>
    <x v="20"/>
    <x v="2"/>
    <x v="2"/>
    <x v="0"/>
    <s v="N/A"/>
  </r>
  <r>
    <x v="185"/>
    <x v="7"/>
    <x v="4"/>
    <s v="mikebrown@email.com"/>
    <x v="6"/>
    <x v="4"/>
    <x v="4"/>
    <n v="4.99"/>
    <x v="36"/>
    <x v="0"/>
    <x v="1"/>
    <x v="0"/>
    <s v="N/A"/>
  </r>
  <r>
    <x v="186"/>
    <x v="118"/>
    <x v="2"/>
    <s v="janedoe@email.com"/>
    <x v="0"/>
    <x v="0"/>
    <x v="1"/>
    <n v="15.99"/>
    <x v="2"/>
    <x v="2"/>
    <x v="1"/>
    <x v="1"/>
    <s v="N/A"/>
  </r>
  <r>
    <x v="187"/>
    <x v="119"/>
    <x v="4"/>
    <s v="mikebrown@gmail.com"/>
    <x v="0"/>
    <x v="0"/>
    <x v="5"/>
    <n v="15.99"/>
    <x v="40"/>
    <x v="0"/>
    <x v="3"/>
    <x v="2"/>
    <s v="N/A"/>
  </r>
  <r>
    <x v="188"/>
    <x v="120"/>
    <x v="0"/>
    <s v="johnsmith@gmail.com"/>
    <x v="1"/>
    <x v="1"/>
    <x v="0"/>
    <n v="99.99"/>
    <x v="1"/>
    <x v="0"/>
    <x v="0"/>
    <x v="0"/>
    <s v="N/A"/>
  </r>
  <r>
    <x v="189"/>
    <x v="7"/>
    <x v="6"/>
    <s v="sarahjohnson@email.com"/>
    <x v="8"/>
    <x v="5"/>
    <x v="0"/>
    <n v="29.99"/>
    <x v="16"/>
    <x v="3"/>
    <x v="4"/>
    <x v="0"/>
    <s v="N/A"/>
  </r>
  <r>
    <x v="190"/>
    <x v="7"/>
    <x v="6"/>
    <s v="sarahjohnson@yahoo.com"/>
    <x v="1"/>
    <x v="1"/>
    <x v="1"/>
    <n v="99.99"/>
    <x v="2"/>
    <x v="2"/>
    <x v="2"/>
    <x v="0"/>
    <s v="N/A"/>
  </r>
  <r>
    <x v="191"/>
    <x v="121"/>
    <x v="2"/>
    <s v="janedoe@email.com"/>
    <x v="7"/>
    <x v="5"/>
    <x v="4"/>
    <n v="49.99"/>
    <x v="13"/>
    <x v="0"/>
    <x v="0"/>
    <x v="1"/>
    <s v="N/A"/>
  </r>
  <r>
    <x v="192"/>
    <x v="122"/>
    <x v="5"/>
    <s v="emilychen@gmail.com"/>
    <x v="0"/>
    <x v="0"/>
    <x v="4"/>
    <n v="15.99"/>
    <x v="9"/>
    <x v="0"/>
    <x v="2"/>
    <x v="2"/>
    <s v="N/A"/>
  </r>
  <r>
    <x v="193"/>
    <x v="123"/>
    <x v="4"/>
    <s v="mikebrown@email.com"/>
    <x v="8"/>
    <x v="5"/>
    <x v="4"/>
    <n v="29.99"/>
    <x v="37"/>
    <x v="0"/>
    <x v="2"/>
    <x v="2"/>
    <s v="N/A"/>
  </r>
  <r>
    <x v="194"/>
    <x v="124"/>
    <x v="3"/>
    <s v="alexkim@yahoo.com"/>
    <x v="2"/>
    <x v="2"/>
    <x v="4"/>
    <n v="79.989999999999995"/>
    <x v="19"/>
    <x v="0"/>
    <x v="0"/>
    <x v="0"/>
    <s v="N/A"/>
  </r>
  <r>
    <x v="195"/>
    <x v="125"/>
    <x v="5"/>
    <s v="emilychen@email.com"/>
    <x v="4"/>
    <x v="1"/>
    <x v="1"/>
    <n v="14.99"/>
    <x v="2"/>
    <x v="0"/>
    <x v="4"/>
    <x v="1"/>
    <s v="N/A"/>
  </r>
  <r>
    <x v="196"/>
    <x v="126"/>
    <x v="5"/>
    <s v="emilychen@email.com"/>
    <x v="0"/>
    <x v="0"/>
    <x v="4"/>
    <n v="15.99"/>
    <x v="9"/>
    <x v="2"/>
    <x v="3"/>
    <x v="0"/>
    <s v="N/A"/>
  </r>
  <r>
    <x v="197"/>
    <x v="14"/>
    <x v="4"/>
    <s v="mikebrown@yahoo.com"/>
    <x v="1"/>
    <x v="1"/>
    <x v="4"/>
    <n v="99.99"/>
    <x v="22"/>
    <x v="2"/>
    <x v="0"/>
    <x v="0"/>
    <s v="N/A"/>
  </r>
  <r>
    <x v="198"/>
    <x v="127"/>
    <x v="3"/>
    <s v="alexkim@gmail.com"/>
    <x v="8"/>
    <x v="5"/>
    <x v="0"/>
    <n v="29.99"/>
    <x v="16"/>
    <x v="2"/>
    <x v="2"/>
    <x v="0"/>
    <s v="N/A"/>
  </r>
  <r>
    <x v="199"/>
    <x v="7"/>
    <x v="7"/>
    <s v="alexkim@gmail.com"/>
    <x v="8"/>
    <x v="5"/>
    <x v="1"/>
    <n v="29.99"/>
    <x v="2"/>
    <x v="3"/>
    <x v="1"/>
    <x v="0"/>
    <s v="check"/>
  </r>
  <r>
    <x v="200"/>
    <x v="7"/>
    <x v="1"/>
    <s v="chrislee@gmail.com"/>
    <x v="7"/>
    <x v="5"/>
    <x v="4"/>
    <n v="49.99"/>
    <x v="13"/>
    <x v="2"/>
    <x v="2"/>
    <x v="0"/>
    <s v="N/A"/>
  </r>
  <r>
    <x v="201"/>
    <x v="128"/>
    <x v="4"/>
    <s v="mikebrown@email.com"/>
    <x v="4"/>
    <x v="1"/>
    <x v="3"/>
    <n v="14.99"/>
    <x v="4"/>
    <x v="0"/>
    <x v="4"/>
    <x v="0"/>
    <s v="N/A"/>
  </r>
  <r>
    <x v="202"/>
    <x v="7"/>
    <x v="1"/>
    <s v="chrislee@email.com"/>
    <x v="4"/>
    <x v="1"/>
    <x v="2"/>
    <n v="14.99"/>
    <x v="33"/>
    <x v="1"/>
    <x v="0"/>
    <x v="0"/>
    <s v="N/A"/>
  </r>
  <r>
    <x v="203"/>
    <x v="129"/>
    <x v="1"/>
    <s v="chrislee@email.com"/>
    <x v="3"/>
    <x v="0"/>
    <x v="5"/>
    <n v="39.99"/>
    <x v="34"/>
    <x v="0"/>
    <x v="0"/>
    <x v="0"/>
    <s v="N/A"/>
  </r>
  <r>
    <x v="204"/>
    <x v="114"/>
    <x v="2"/>
    <s v="janedoe@email.com"/>
    <x v="7"/>
    <x v="5"/>
    <x v="4"/>
    <n v="49.99"/>
    <x v="13"/>
    <x v="2"/>
    <x v="0"/>
    <x v="0"/>
    <s v="N/A"/>
  </r>
  <r>
    <x v="205"/>
    <x v="34"/>
    <x v="7"/>
    <s v="janedoe@email.com"/>
    <x v="4"/>
    <x v="1"/>
    <x v="4"/>
    <n v="14.99"/>
    <x v="6"/>
    <x v="1"/>
    <x v="0"/>
    <x v="0"/>
    <s v="N/A"/>
  </r>
  <r>
    <x v="206"/>
    <x v="24"/>
    <x v="4"/>
    <s v="mikebrown@yahoo.com"/>
    <x v="2"/>
    <x v="2"/>
    <x v="4"/>
    <n v="79.989999999999995"/>
    <x v="19"/>
    <x v="1"/>
    <x v="1"/>
    <x v="0"/>
    <s v="N/A"/>
  </r>
  <r>
    <x v="207"/>
    <x v="130"/>
    <x v="4"/>
    <s v="mikebrown@yahoo.com"/>
    <x v="3"/>
    <x v="0"/>
    <x v="2"/>
    <n v="39.99"/>
    <x v="3"/>
    <x v="1"/>
    <x v="0"/>
    <x v="1"/>
    <s v="N/A"/>
  </r>
  <r>
    <x v="208"/>
    <x v="131"/>
    <x v="3"/>
    <s v="alexkim@gmail.com"/>
    <x v="4"/>
    <x v="1"/>
    <x v="2"/>
    <n v="14.99"/>
    <x v="33"/>
    <x v="2"/>
    <x v="0"/>
    <x v="0"/>
    <s v="N/A"/>
  </r>
  <r>
    <x v="209"/>
    <x v="132"/>
    <x v="6"/>
    <s v="sarahjohnson@email.com"/>
    <x v="6"/>
    <x v="4"/>
    <x v="4"/>
    <n v="4.99"/>
    <x v="36"/>
    <x v="2"/>
    <x v="3"/>
    <x v="0"/>
    <s v="N/A"/>
  </r>
  <r>
    <x v="210"/>
    <x v="133"/>
    <x v="2"/>
    <s v="N/A"/>
    <x v="0"/>
    <x v="0"/>
    <x v="5"/>
    <n v="15.99"/>
    <x v="40"/>
    <x v="2"/>
    <x v="1"/>
    <x v="0"/>
    <s v="N/A"/>
  </r>
  <r>
    <x v="211"/>
    <x v="8"/>
    <x v="2"/>
    <s v="janedoe@email.com"/>
    <x v="6"/>
    <x v="4"/>
    <x v="2"/>
    <n v="4.99"/>
    <x v="41"/>
    <x v="3"/>
    <x v="1"/>
    <x v="2"/>
    <s v="N/A"/>
  </r>
  <r>
    <x v="212"/>
    <x v="134"/>
    <x v="0"/>
    <s v="johnsmith@yahoo.com"/>
    <x v="5"/>
    <x v="3"/>
    <x v="4"/>
    <n v="59.99"/>
    <x v="24"/>
    <x v="1"/>
    <x v="2"/>
    <x v="2"/>
    <s v="N/A"/>
  </r>
  <r>
    <x v="213"/>
    <x v="135"/>
    <x v="5"/>
    <s v="emilychen@yahoo.com"/>
    <x v="5"/>
    <x v="3"/>
    <x v="1"/>
    <n v="59.99"/>
    <x v="2"/>
    <x v="2"/>
    <x v="0"/>
    <x v="1"/>
    <s v="N/A"/>
  </r>
  <r>
    <x v="214"/>
    <x v="78"/>
    <x v="0"/>
    <s v="johnsmith@yahoo.com"/>
    <x v="1"/>
    <x v="1"/>
    <x v="1"/>
    <n v="99.99"/>
    <x v="2"/>
    <x v="2"/>
    <x v="3"/>
    <x v="1"/>
    <s v="N/A"/>
  </r>
  <r>
    <x v="215"/>
    <x v="7"/>
    <x v="2"/>
    <s v="janedoe@gmail.com"/>
    <x v="6"/>
    <x v="4"/>
    <x v="5"/>
    <n v="4.99"/>
    <x v="11"/>
    <x v="0"/>
    <x v="4"/>
    <x v="1"/>
    <s v="N/A"/>
  </r>
  <r>
    <x v="216"/>
    <x v="7"/>
    <x v="0"/>
    <s v="johnsmith@email.com"/>
    <x v="4"/>
    <x v="1"/>
    <x v="1"/>
    <n v="14.99"/>
    <x v="2"/>
    <x v="2"/>
    <x v="0"/>
    <x v="0"/>
    <s v="N/A"/>
  </r>
  <r>
    <x v="217"/>
    <x v="136"/>
    <x v="0"/>
    <s v="johnsmith@gmail.com"/>
    <x v="6"/>
    <x v="4"/>
    <x v="1"/>
    <n v="4.99"/>
    <x v="2"/>
    <x v="3"/>
    <x v="3"/>
    <x v="2"/>
    <s v="N/A"/>
  </r>
  <r>
    <x v="218"/>
    <x v="137"/>
    <x v="3"/>
    <s v="alexkim@email.com"/>
    <x v="3"/>
    <x v="0"/>
    <x v="0"/>
    <n v="39.99"/>
    <x v="10"/>
    <x v="2"/>
    <x v="2"/>
    <x v="2"/>
    <s v="N/A"/>
  </r>
  <r>
    <x v="219"/>
    <x v="138"/>
    <x v="5"/>
    <s v="emilychen@gmail.com"/>
    <x v="5"/>
    <x v="3"/>
    <x v="1"/>
    <n v="59.99"/>
    <x v="2"/>
    <x v="1"/>
    <x v="2"/>
    <x v="0"/>
    <s v="N/A"/>
  </r>
  <r>
    <x v="220"/>
    <x v="7"/>
    <x v="3"/>
    <s v="alexkim@email.com"/>
    <x v="2"/>
    <x v="2"/>
    <x v="1"/>
    <n v="79.989999999999995"/>
    <x v="2"/>
    <x v="3"/>
    <x v="0"/>
    <x v="2"/>
    <s v="N/A"/>
  </r>
  <r>
    <x v="221"/>
    <x v="139"/>
    <x v="2"/>
    <s v="janedoe@gmail.com"/>
    <x v="1"/>
    <x v="1"/>
    <x v="5"/>
    <n v="99.99"/>
    <x v="18"/>
    <x v="2"/>
    <x v="4"/>
    <x v="0"/>
    <s v="N/A"/>
  </r>
  <r>
    <x v="222"/>
    <x v="140"/>
    <x v="3"/>
    <s v="alexkim@yahoo.com"/>
    <x v="6"/>
    <x v="4"/>
    <x v="4"/>
    <n v="4.99"/>
    <x v="36"/>
    <x v="1"/>
    <x v="2"/>
    <x v="1"/>
    <s v="N/A"/>
  </r>
  <r>
    <x v="223"/>
    <x v="141"/>
    <x v="0"/>
    <s v="johnsmith@gmail.com"/>
    <x v="1"/>
    <x v="1"/>
    <x v="1"/>
    <n v="99.99"/>
    <x v="2"/>
    <x v="2"/>
    <x v="0"/>
    <x v="0"/>
    <s v="N/A"/>
  </r>
  <r>
    <x v="224"/>
    <x v="142"/>
    <x v="4"/>
    <s v="mikebrown@email.com"/>
    <x v="8"/>
    <x v="5"/>
    <x v="0"/>
    <n v="29.99"/>
    <x v="16"/>
    <x v="2"/>
    <x v="4"/>
    <x v="0"/>
    <s v="N/A"/>
  </r>
  <r>
    <x v="225"/>
    <x v="135"/>
    <x v="5"/>
    <s v="emilychen@email.com"/>
    <x v="5"/>
    <x v="3"/>
    <x v="1"/>
    <n v="59.99"/>
    <x v="2"/>
    <x v="3"/>
    <x v="2"/>
    <x v="2"/>
    <s v="N/A"/>
  </r>
  <r>
    <x v="226"/>
    <x v="143"/>
    <x v="1"/>
    <s v="chrislee@email.com"/>
    <x v="8"/>
    <x v="5"/>
    <x v="1"/>
    <n v="29.99"/>
    <x v="2"/>
    <x v="2"/>
    <x v="1"/>
    <x v="0"/>
    <s v="N/A"/>
  </r>
  <r>
    <x v="227"/>
    <x v="105"/>
    <x v="1"/>
    <s v="chrislee@yahoo.com"/>
    <x v="8"/>
    <x v="5"/>
    <x v="5"/>
    <n v="29.99"/>
    <x v="26"/>
    <x v="2"/>
    <x v="0"/>
    <x v="0"/>
    <s v="N/A"/>
  </r>
  <r>
    <x v="228"/>
    <x v="7"/>
    <x v="0"/>
    <s v="johnsmith@gmail.com"/>
    <x v="2"/>
    <x v="2"/>
    <x v="1"/>
    <n v="79.989999999999995"/>
    <x v="2"/>
    <x v="1"/>
    <x v="0"/>
    <x v="2"/>
    <s v="N/A"/>
  </r>
  <r>
    <x v="229"/>
    <x v="70"/>
    <x v="2"/>
    <s v="janedoe@gmail.com"/>
    <x v="7"/>
    <x v="5"/>
    <x v="2"/>
    <n v="49.99"/>
    <x v="43"/>
    <x v="0"/>
    <x v="4"/>
    <x v="0"/>
    <s v="N/A"/>
  </r>
  <r>
    <x v="230"/>
    <x v="144"/>
    <x v="6"/>
    <s v="sarahjohnson@email.com"/>
    <x v="2"/>
    <x v="2"/>
    <x v="3"/>
    <n v="79.989999999999995"/>
    <x v="29"/>
    <x v="2"/>
    <x v="0"/>
    <x v="2"/>
    <s v="N/A"/>
  </r>
  <r>
    <x v="231"/>
    <x v="2"/>
    <x v="1"/>
    <s v="chrislee@email.com"/>
    <x v="6"/>
    <x v="4"/>
    <x v="0"/>
    <n v="4.99"/>
    <x v="35"/>
    <x v="2"/>
    <x v="0"/>
    <x v="0"/>
    <s v="check"/>
  </r>
  <r>
    <x v="232"/>
    <x v="145"/>
    <x v="5"/>
    <s v="emilychen@gmail.com"/>
    <x v="1"/>
    <x v="1"/>
    <x v="3"/>
    <n v="99.99"/>
    <x v="12"/>
    <x v="0"/>
    <x v="2"/>
    <x v="0"/>
    <s v="N/A"/>
  </r>
  <r>
    <x v="233"/>
    <x v="146"/>
    <x v="7"/>
    <s v="alexkim@email.com"/>
    <x v="4"/>
    <x v="1"/>
    <x v="1"/>
    <n v="14.99"/>
    <x v="2"/>
    <x v="0"/>
    <x v="2"/>
    <x v="2"/>
    <s v="N/A"/>
  </r>
  <r>
    <x v="234"/>
    <x v="147"/>
    <x v="6"/>
    <s v="sarahjohnson@gmail.com"/>
    <x v="0"/>
    <x v="0"/>
    <x v="4"/>
    <n v="15.99"/>
    <x v="9"/>
    <x v="0"/>
    <x v="3"/>
    <x v="0"/>
    <s v="N/A"/>
  </r>
  <r>
    <x v="235"/>
    <x v="7"/>
    <x v="5"/>
    <s v="emilychen@email.com"/>
    <x v="1"/>
    <x v="1"/>
    <x v="4"/>
    <n v="99.99"/>
    <x v="22"/>
    <x v="2"/>
    <x v="4"/>
    <x v="0"/>
    <s v="N/A"/>
  </r>
  <r>
    <x v="236"/>
    <x v="148"/>
    <x v="1"/>
    <s v="chrislee@yahoo.com"/>
    <x v="3"/>
    <x v="0"/>
    <x v="5"/>
    <n v="39.99"/>
    <x v="34"/>
    <x v="3"/>
    <x v="0"/>
    <x v="0"/>
    <s v="N/A"/>
  </r>
  <r>
    <x v="237"/>
    <x v="137"/>
    <x v="6"/>
    <s v="sarahjohnson@yahoo.com"/>
    <x v="7"/>
    <x v="5"/>
    <x v="5"/>
    <n v="49.99"/>
    <x v="32"/>
    <x v="2"/>
    <x v="4"/>
    <x v="0"/>
    <s v="N/A"/>
  </r>
  <r>
    <x v="238"/>
    <x v="83"/>
    <x v="4"/>
    <s v="mikebrown@email.com"/>
    <x v="3"/>
    <x v="0"/>
    <x v="3"/>
    <n v="39.99"/>
    <x v="44"/>
    <x v="2"/>
    <x v="0"/>
    <x v="2"/>
    <s v="N/A"/>
  </r>
  <r>
    <x v="239"/>
    <x v="79"/>
    <x v="0"/>
    <s v="johnsmith@email.com"/>
    <x v="7"/>
    <x v="5"/>
    <x v="3"/>
    <n v="49.99"/>
    <x v="8"/>
    <x v="2"/>
    <x v="0"/>
    <x v="2"/>
    <s v="N/A"/>
  </r>
  <r>
    <x v="240"/>
    <x v="7"/>
    <x v="2"/>
    <s v="janedoe@email.com"/>
    <x v="2"/>
    <x v="2"/>
    <x v="2"/>
    <n v="79.989999999999995"/>
    <x v="39"/>
    <x v="2"/>
    <x v="0"/>
    <x v="1"/>
    <s v="N/A"/>
  </r>
  <r>
    <x v="241"/>
    <x v="98"/>
    <x v="6"/>
    <s v="sarahjohnson@gmail.com"/>
    <x v="8"/>
    <x v="5"/>
    <x v="4"/>
    <n v="29.99"/>
    <x v="37"/>
    <x v="1"/>
    <x v="2"/>
    <x v="2"/>
    <s v="N/A"/>
  </r>
  <r>
    <x v="242"/>
    <x v="149"/>
    <x v="5"/>
    <s v="emilychen@gmail.com"/>
    <x v="2"/>
    <x v="2"/>
    <x v="5"/>
    <n v="79.989999999999995"/>
    <x v="23"/>
    <x v="3"/>
    <x v="0"/>
    <x v="0"/>
    <s v="N/A"/>
  </r>
  <r>
    <x v="243"/>
    <x v="7"/>
    <x v="4"/>
    <s v="mikebrown@gmail.com"/>
    <x v="6"/>
    <x v="4"/>
    <x v="5"/>
    <n v="4.99"/>
    <x v="11"/>
    <x v="1"/>
    <x v="2"/>
    <x v="2"/>
    <s v="N/A"/>
  </r>
  <r>
    <x v="244"/>
    <x v="150"/>
    <x v="5"/>
    <s v="emilychen@gmail.com"/>
    <x v="2"/>
    <x v="2"/>
    <x v="2"/>
    <n v="79.989999999999995"/>
    <x v="39"/>
    <x v="3"/>
    <x v="0"/>
    <x v="2"/>
    <s v="N/A"/>
  </r>
  <r>
    <x v="245"/>
    <x v="89"/>
    <x v="0"/>
    <s v="johnsmith@gmail.com"/>
    <x v="8"/>
    <x v="5"/>
    <x v="4"/>
    <n v="29.99"/>
    <x v="37"/>
    <x v="2"/>
    <x v="0"/>
    <x v="1"/>
    <s v="N/A"/>
  </r>
  <r>
    <x v="246"/>
    <x v="7"/>
    <x v="4"/>
    <s v="mikebrown@gmail.com"/>
    <x v="1"/>
    <x v="1"/>
    <x v="5"/>
    <n v="99.99"/>
    <x v="18"/>
    <x v="3"/>
    <x v="4"/>
    <x v="0"/>
    <s v="N/A"/>
  </r>
  <r>
    <x v="247"/>
    <x v="7"/>
    <x v="2"/>
    <s v="N/A"/>
    <x v="3"/>
    <x v="0"/>
    <x v="5"/>
    <n v="39.99"/>
    <x v="34"/>
    <x v="2"/>
    <x v="2"/>
    <x v="1"/>
    <s v="N/A"/>
  </r>
  <r>
    <x v="248"/>
    <x v="7"/>
    <x v="0"/>
    <s v="johnsmith@gmail.com"/>
    <x v="4"/>
    <x v="1"/>
    <x v="0"/>
    <n v="14.99"/>
    <x v="25"/>
    <x v="2"/>
    <x v="2"/>
    <x v="1"/>
    <s v="N/A"/>
  </r>
  <r>
    <x v="249"/>
    <x v="151"/>
    <x v="6"/>
    <s v="sarahjohnson@email.com"/>
    <x v="3"/>
    <x v="0"/>
    <x v="1"/>
    <n v="39.99"/>
    <x v="2"/>
    <x v="2"/>
    <x v="2"/>
    <x v="0"/>
    <s v="N/A"/>
  </r>
  <r>
    <x v="250"/>
    <x v="152"/>
    <x v="6"/>
    <s v="sarahjohnson@gmail.com"/>
    <x v="0"/>
    <x v="0"/>
    <x v="4"/>
    <n v="15.99"/>
    <x v="9"/>
    <x v="0"/>
    <x v="4"/>
    <x v="1"/>
    <s v="N/A"/>
  </r>
  <r>
    <x v="251"/>
    <x v="153"/>
    <x v="6"/>
    <s v="sarahjohnson@email.com"/>
    <x v="0"/>
    <x v="0"/>
    <x v="5"/>
    <n v="15.99"/>
    <x v="40"/>
    <x v="2"/>
    <x v="0"/>
    <x v="0"/>
    <s v="N/A"/>
  </r>
  <r>
    <x v="252"/>
    <x v="7"/>
    <x v="0"/>
    <s v="johnsmith@email.com"/>
    <x v="6"/>
    <x v="4"/>
    <x v="1"/>
    <n v="4.99"/>
    <x v="2"/>
    <x v="3"/>
    <x v="2"/>
    <x v="0"/>
    <s v="N/A"/>
  </r>
  <r>
    <x v="253"/>
    <x v="7"/>
    <x v="5"/>
    <s v="emilychen@gmail.com"/>
    <x v="0"/>
    <x v="0"/>
    <x v="2"/>
    <n v="15.99"/>
    <x v="42"/>
    <x v="2"/>
    <x v="0"/>
    <x v="2"/>
    <s v="N/A"/>
  </r>
  <r>
    <x v="254"/>
    <x v="154"/>
    <x v="3"/>
    <s v="alexkim@email.com"/>
    <x v="7"/>
    <x v="5"/>
    <x v="2"/>
    <n v="49.99"/>
    <x v="43"/>
    <x v="2"/>
    <x v="4"/>
    <x v="0"/>
    <s v="N/A"/>
  </r>
  <r>
    <x v="255"/>
    <x v="155"/>
    <x v="4"/>
    <s v="mikebrown@gmail.com"/>
    <x v="0"/>
    <x v="0"/>
    <x v="1"/>
    <n v="15.99"/>
    <x v="2"/>
    <x v="0"/>
    <x v="4"/>
    <x v="0"/>
    <s v="N/A"/>
  </r>
  <r>
    <x v="256"/>
    <x v="156"/>
    <x v="7"/>
    <s v="chrislee@gmail.com"/>
    <x v="1"/>
    <x v="1"/>
    <x v="5"/>
    <n v="99.99"/>
    <x v="18"/>
    <x v="2"/>
    <x v="0"/>
    <x v="1"/>
    <s v="N/A"/>
  </r>
  <r>
    <x v="257"/>
    <x v="5"/>
    <x v="4"/>
    <s v="mikebrown@gmail.com"/>
    <x v="1"/>
    <x v="1"/>
    <x v="1"/>
    <n v="99.99"/>
    <x v="2"/>
    <x v="1"/>
    <x v="2"/>
    <x v="0"/>
    <s v="N/A"/>
  </r>
  <r>
    <x v="258"/>
    <x v="157"/>
    <x v="6"/>
    <s v="sarahjohnson@gmail.com"/>
    <x v="2"/>
    <x v="2"/>
    <x v="3"/>
    <n v="79.989999999999995"/>
    <x v="29"/>
    <x v="2"/>
    <x v="4"/>
    <x v="0"/>
    <s v="N/A"/>
  </r>
  <r>
    <x v="259"/>
    <x v="7"/>
    <x v="2"/>
    <s v="janedoe@gmail.com"/>
    <x v="6"/>
    <x v="4"/>
    <x v="5"/>
    <n v="4.99"/>
    <x v="11"/>
    <x v="2"/>
    <x v="1"/>
    <x v="0"/>
    <s v="N/A"/>
  </r>
  <r>
    <x v="260"/>
    <x v="158"/>
    <x v="1"/>
    <s v="chrislee@yahoo.com"/>
    <x v="7"/>
    <x v="5"/>
    <x v="3"/>
    <n v="49.99"/>
    <x v="8"/>
    <x v="2"/>
    <x v="0"/>
    <x v="0"/>
    <s v="N/A"/>
  </r>
  <r>
    <x v="261"/>
    <x v="159"/>
    <x v="6"/>
    <s v="N/A"/>
    <x v="7"/>
    <x v="5"/>
    <x v="1"/>
    <n v="49.99"/>
    <x v="2"/>
    <x v="1"/>
    <x v="0"/>
    <x v="0"/>
    <s v="N/A"/>
  </r>
  <r>
    <x v="262"/>
    <x v="48"/>
    <x v="5"/>
    <s v="emilychen@gmail.com"/>
    <x v="3"/>
    <x v="0"/>
    <x v="1"/>
    <n v="39.99"/>
    <x v="2"/>
    <x v="3"/>
    <x v="2"/>
    <x v="2"/>
    <s v="N/A"/>
  </r>
  <r>
    <x v="263"/>
    <x v="160"/>
    <x v="2"/>
    <s v="janedoe@gmail.com"/>
    <x v="5"/>
    <x v="3"/>
    <x v="3"/>
    <n v="59.99"/>
    <x v="5"/>
    <x v="3"/>
    <x v="2"/>
    <x v="0"/>
    <s v="N/A"/>
  </r>
  <r>
    <x v="264"/>
    <x v="161"/>
    <x v="5"/>
    <s v="emilychen@yahoo.com"/>
    <x v="0"/>
    <x v="0"/>
    <x v="2"/>
    <n v="15.99"/>
    <x v="42"/>
    <x v="2"/>
    <x v="4"/>
    <x v="2"/>
    <s v="N/A"/>
  </r>
  <r>
    <x v="265"/>
    <x v="7"/>
    <x v="6"/>
    <s v="sarahjohnson@gmail.com"/>
    <x v="4"/>
    <x v="1"/>
    <x v="2"/>
    <n v="14.99"/>
    <x v="33"/>
    <x v="2"/>
    <x v="0"/>
    <x v="0"/>
    <s v="N/A"/>
  </r>
  <r>
    <x v="266"/>
    <x v="7"/>
    <x v="1"/>
    <s v="chrislee@gmail.com"/>
    <x v="4"/>
    <x v="1"/>
    <x v="1"/>
    <n v="14.99"/>
    <x v="2"/>
    <x v="2"/>
    <x v="2"/>
    <x v="0"/>
    <s v="N/A"/>
  </r>
  <r>
    <x v="267"/>
    <x v="46"/>
    <x v="2"/>
    <s v="janedoe@gmail.com"/>
    <x v="8"/>
    <x v="5"/>
    <x v="4"/>
    <n v="29.99"/>
    <x v="37"/>
    <x v="3"/>
    <x v="4"/>
    <x v="0"/>
    <s v="N/A"/>
  </r>
  <r>
    <x v="268"/>
    <x v="162"/>
    <x v="7"/>
    <s v="sarahjohnson@email.com"/>
    <x v="8"/>
    <x v="5"/>
    <x v="5"/>
    <n v="29.99"/>
    <x v="26"/>
    <x v="0"/>
    <x v="2"/>
    <x v="0"/>
    <s v="N/A"/>
  </r>
  <r>
    <x v="269"/>
    <x v="7"/>
    <x v="5"/>
    <s v="emilychen@gmail.com"/>
    <x v="8"/>
    <x v="5"/>
    <x v="3"/>
    <n v="29.99"/>
    <x v="28"/>
    <x v="1"/>
    <x v="2"/>
    <x v="2"/>
    <s v="N/A"/>
  </r>
  <r>
    <x v="270"/>
    <x v="163"/>
    <x v="6"/>
    <s v="sarahjohnson@gmail.com"/>
    <x v="5"/>
    <x v="3"/>
    <x v="0"/>
    <n v="59.99"/>
    <x v="30"/>
    <x v="3"/>
    <x v="0"/>
    <x v="0"/>
    <s v="N/A"/>
  </r>
  <r>
    <x v="271"/>
    <x v="164"/>
    <x v="6"/>
    <s v="sarahjohnson@email.com"/>
    <x v="4"/>
    <x v="1"/>
    <x v="1"/>
    <n v="14.99"/>
    <x v="2"/>
    <x v="2"/>
    <x v="4"/>
    <x v="0"/>
    <s v="N/A"/>
  </r>
  <r>
    <x v="272"/>
    <x v="165"/>
    <x v="3"/>
    <s v="alexkim@yahoo.com"/>
    <x v="6"/>
    <x v="4"/>
    <x v="1"/>
    <n v="4.99"/>
    <x v="2"/>
    <x v="1"/>
    <x v="2"/>
    <x v="1"/>
    <s v="N/A"/>
  </r>
  <r>
    <x v="273"/>
    <x v="10"/>
    <x v="1"/>
    <s v="chrislee@yahoo.com"/>
    <x v="7"/>
    <x v="5"/>
    <x v="2"/>
    <n v="49.99"/>
    <x v="43"/>
    <x v="2"/>
    <x v="1"/>
    <x v="2"/>
    <s v="N/A"/>
  </r>
  <r>
    <x v="274"/>
    <x v="7"/>
    <x v="4"/>
    <s v="mikebrown@gmail.com"/>
    <x v="8"/>
    <x v="5"/>
    <x v="1"/>
    <n v="29.99"/>
    <x v="2"/>
    <x v="1"/>
    <x v="0"/>
    <x v="2"/>
    <s v="N/A"/>
  </r>
  <r>
    <x v="275"/>
    <x v="166"/>
    <x v="0"/>
    <s v="johnsmith@gmail.com"/>
    <x v="4"/>
    <x v="1"/>
    <x v="2"/>
    <n v="14.99"/>
    <x v="33"/>
    <x v="0"/>
    <x v="0"/>
    <x v="0"/>
    <s v="N/A"/>
  </r>
  <r>
    <x v="276"/>
    <x v="7"/>
    <x v="2"/>
    <s v="janedoe@gmail.com"/>
    <x v="8"/>
    <x v="5"/>
    <x v="3"/>
    <n v="29.99"/>
    <x v="28"/>
    <x v="0"/>
    <x v="0"/>
    <x v="2"/>
    <s v="N/A"/>
  </r>
  <r>
    <x v="277"/>
    <x v="167"/>
    <x v="1"/>
    <s v="chrislee@email.com"/>
    <x v="1"/>
    <x v="1"/>
    <x v="4"/>
    <n v="99.99"/>
    <x v="22"/>
    <x v="2"/>
    <x v="1"/>
    <x v="1"/>
    <s v="N/A"/>
  </r>
  <r>
    <x v="278"/>
    <x v="7"/>
    <x v="4"/>
    <s v="mikebrown@yahoo.com"/>
    <x v="2"/>
    <x v="2"/>
    <x v="3"/>
    <n v="79.989999999999995"/>
    <x v="29"/>
    <x v="0"/>
    <x v="1"/>
    <x v="0"/>
    <s v="N/A"/>
  </r>
  <r>
    <x v="279"/>
    <x v="168"/>
    <x v="5"/>
    <s v="N/A"/>
    <x v="1"/>
    <x v="1"/>
    <x v="2"/>
    <n v="99.99"/>
    <x v="27"/>
    <x v="0"/>
    <x v="3"/>
    <x v="0"/>
    <s v="N/A"/>
  </r>
  <r>
    <x v="280"/>
    <x v="7"/>
    <x v="4"/>
    <s v="mikebrown@gmail.com"/>
    <x v="0"/>
    <x v="0"/>
    <x v="5"/>
    <n v="15.99"/>
    <x v="40"/>
    <x v="2"/>
    <x v="0"/>
    <x v="0"/>
    <s v="N/A"/>
  </r>
  <r>
    <x v="281"/>
    <x v="7"/>
    <x v="3"/>
    <s v="alexkim@gmail.com"/>
    <x v="5"/>
    <x v="3"/>
    <x v="4"/>
    <n v="59.99"/>
    <x v="24"/>
    <x v="2"/>
    <x v="2"/>
    <x v="2"/>
    <s v="N/A"/>
  </r>
  <r>
    <x v="282"/>
    <x v="169"/>
    <x v="2"/>
    <s v="janedoe@email.com"/>
    <x v="1"/>
    <x v="1"/>
    <x v="2"/>
    <n v="99.99"/>
    <x v="27"/>
    <x v="2"/>
    <x v="2"/>
    <x v="0"/>
    <s v="N/A"/>
  </r>
  <r>
    <x v="283"/>
    <x v="7"/>
    <x v="0"/>
    <s v="johnsmith@yahoo.com"/>
    <x v="8"/>
    <x v="5"/>
    <x v="4"/>
    <n v="29.99"/>
    <x v="37"/>
    <x v="0"/>
    <x v="3"/>
    <x v="1"/>
    <s v="N/A"/>
  </r>
  <r>
    <x v="284"/>
    <x v="7"/>
    <x v="5"/>
    <s v="emilychen@email.com"/>
    <x v="3"/>
    <x v="0"/>
    <x v="3"/>
    <n v="39.99"/>
    <x v="44"/>
    <x v="3"/>
    <x v="0"/>
    <x v="2"/>
    <s v="N/A"/>
  </r>
  <r>
    <x v="285"/>
    <x v="170"/>
    <x v="4"/>
    <s v="mikebrown@yahoo.com"/>
    <x v="2"/>
    <x v="2"/>
    <x v="4"/>
    <n v="79.989999999999995"/>
    <x v="19"/>
    <x v="0"/>
    <x v="0"/>
    <x v="0"/>
    <s v="N/A"/>
  </r>
  <r>
    <x v="286"/>
    <x v="171"/>
    <x v="1"/>
    <s v="chrislee@yahoo.com"/>
    <x v="0"/>
    <x v="0"/>
    <x v="1"/>
    <n v="15.99"/>
    <x v="2"/>
    <x v="1"/>
    <x v="0"/>
    <x v="0"/>
    <s v="N/A"/>
  </r>
  <r>
    <x v="287"/>
    <x v="172"/>
    <x v="3"/>
    <s v="alexkim@gmail.com"/>
    <x v="1"/>
    <x v="1"/>
    <x v="1"/>
    <n v="99.99"/>
    <x v="2"/>
    <x v="2"/>
    <x v="2"/>
    <x v="2"/>
    <s v="N/A"/>
  </r>
  <r>
    <x v="288"/>
    <x v="173"/>
    <x v="6"/>
    <s v="sarahjohnson@yahoo.com"/>
    <x v="4"/>
    <x v="1"/>
    <x v="3"/>
    <n v="14.99"/>
    <x v="4"/>
    <x v="1"/>
    <x v="0"/>
    <x v="2"/>
    <s v="N/A"/>
  </r>
  <r>
    <x v="289"/>
    <x v="174"/>
    <x v="3"/>
    <s v="alexkim@yahoo.com"/>
    <x v="0"/>
    <x v="0"/>
    <x v="1"/>
    <n v="15.99"/>
    <x v="2"/>
    <x v="0"/>
    <x v="1"/>
    <x v="2"/>
    <s v="N/A"/>
  </r>
  <r>
    <x v="290"/>
    <x v="175"/>
    <x v="6"/>
    <s v="sarahjohnson@email.com"/>
    <x v="0"/>
    <x v="0"/>
    <x v="3"/>
    <n v="15.99"/>
    <x v="45"/>
    <x v="3"/>
    <x v="4"/>
    <x v="0"/>
    <s v="N/A"/>
  </r>
  <r>
    <x v="291"/>
    <x v="125"/>
    <x v="4"/>
    <s v="mikebrown@email.com"/>
    <x v="4"/>
    <x v="1"/>
    <x v="2"/>
    <n v="14.99"/>
    <x v="33"/>
    <x v="3"/>
    <x v="1"/>
    <x v="0"/>
    <s v="N/A"/>
  </r>
  <r>
    <x v="292"/>
    <x v="176"/>
    <x v="3"/>
    <s v="alexkim@email.com"/>
    <x v="8"/>
    <x v="5"/>
    <x v="4"/>
    <n v="29.99"/>
    <x v="37"/>
    <x v="3"/>
    <x v="2"/>
    <x v="1"/>
    <s v="N/A"/>
  </r>
  <r>
    <x v="293"/>
    <x v="85"/>
    <x v="1"/>
    <s v="chrislee@gmail.com"/>
    <x v="2"/>
    <x v="2"/>
    <x v="1"/>
    <n v="79.989999999999995"/>
    <x v="2"/>
    <x v="1"/>
    <x v="2"/>
    <x v="0"/>
    <s v="check"/>
  </r>
  <r>
    <x v="294"/>
    <x v="130"/>
    <x v="1"/>
    <s v="chrislee@gmail.com"/>
    <x v="3"/>
    <x v="0"/>
    <x v="2"/>
    <n v="39.99"/>
    <x v="3"/>
    <x v="1"/>
    <x v="0"/>
    <x v="0"/>
    <s v="N/A"/>
  </r>
  <r>
    <x v="295"/>
    <x v="177"/>
    <x v="2"/>
    <s v="janedoe@gmail.com"/>
    <x v="0"/>
    <x v="0"/>
    <x v="1"/>
    <n v="15.99"/>
    <x v="2"/>
    <x v="2"/>
    <x v="4"/>
    <x v="0"/>
    <s v="check"/>
  </r>
  <r>
    <x v="296"/>
    <x v="110"/>
    <x v="1"/>
    <s v="chrislee@yahoo.com"/>
    <x v="7"/>
    <x v="5"/>
    <x v="4"/>
    <n v="49.99"/>
    <x v="13"/>
    <x v="2"/>
    <x v="2"/>
    <x v="0"/>
    <s v="N/A"/>
  </r>
  <r>
    <x v="297"/>
    <x v="7"/>
    <x v="5"/>
    <s v="emilychen@email.com"/>
    <x v="2"/>
    <x v="2"/>
    <x v="2"/>
    <n v="79.989999999999995"/>
    <x v="39"/>
    <x v="0"/>
    <x v="2"/>
    <x v="0"/>
    <s v="N/A"/>
  </r>
  <r>
    <x v="298"/>
    <x v="178"/>
    <x v="6"/>
    <s v="sarahjohnson@gmail.com"/>
    <x v="8"/>
    <x v="5"/>
    <x v="3"/>
    <n v="29.99"/>
    <x v="28"/>
    <x v="1"/>
    <x v="3"/>
    <x v="0"/>
    <s v="N/A"/>
  </r>
  <r>
    <x v="299"/>
    <x v="7"/>
    <x v="6"/>
    <s v="sarahjohnson@email.com"/>
    <x v="5"/>
    <x v="3"/>
    <x v="0"/>
    <n v="59.99"/>
    <x v="30"/>
    <x v="2"/>
    <x v="2"/>
    <x v="2"/>
    <s v="N/A"/>
  </r>
  <r>
    <x v="300"/>
    <x v="179"/>
    <x v="4"/>
    <s v="N/A"/>
    <x v="1"/>
    <x v="1"/>
    <x v="1"/>
    <n v="99.99"/>
    <x v="2"/>
    <x v="3"/>
    <x v="1"/>
    <x v="2"/>
    <s v="N/A"/>
  </r>
  <r>
    <x v="301"/>
    <x v="7"/>
    <x v="2"/>
    <s v="janedoe@email.com"/>
    <x v="2"/>
    <x v="2"/>
    <x v="5"/>
    <n v="79.989999999999995"/>
    <x v="23"/>
    <x v="0"/>
    <x v="1"/>
    <x v="0"/>
    <s v="N/A"/>
  </r>
  <r>
    <x v="302"/>
    <x v="7"/>
    <x v="3"/>
    <s v="alexkim@gmail.com"/>
    <x v="3"/>
    <x v="0"/>
    <x v="1"/>
    <n v="39.99"/>
    <x v="2"/>
    <x v="2"/>
    <x v="2"/>
    <x v="0"/>
    <s v="N/A"/>
  </r>
  <r>
    <x v="303"/>
    <x v="180"/>
    <x v="5"/>
    <s v="N/A"/>
    <x v="8"/>
    <x v="5"/>
    <x v="2"/>
    <n v="29.99"/>
    <x v="31"/>
    <x v="2"/>
    <x v="1"/>
    <x v="0"/>
    <s v="N/A"/>
  </r>
  <r>
    <x v="304"/>
    <x v="181"/>
    <x v="6"/>
    <s v="sarahjohnson@gmail.com"/>
    <x v="0"/>
    <x v="0"/>
    <x v="1"/>
    <n v="15.99"/>
    <x v="2"/>
    <x v="3"/>
    <x v="0"/>
    <x v="2"/>
    <s v="N/A"/>
  </r>
  <r>
    <x v="305"/>
    <x v="7"/>
    <x v="3"/>
    <s v="alexkim@email.com"/>
    <x v="6"/>
    <x v="4"/>
    <x v="1"/>
    <n v="4.99"/>
    <x v="2"/>
    <x v="1"/>
    <x v="2"/>
    <x v="0"/>
    <s v="N/A"/>
  </r>
  <r>
    <x v="306"/>
    <x v="7"/>
    <x v="1"/>
    <s v="chrislee@yahoo.com"/>
    <x v="8"/>
    <x v="5"/>
    <x v="1"/>
    <n v="29.99"/>
    <x v="2"/>
    <x v="2"/>
    <x v="4"/>
    <x v="2"/>
    <s v="N/A"/>
  </r>
  <r>
    <x v="307"/>
    <x v="182"/>
    <x v="6"/>
    <s v="sarahjohnson@email.com"/>
    <x v="3"/>
    <x v="0"/>
    <x v="0"/>
    <n v="39.99"/>
    <x v="10"/>
    <x v="3"/>
    <x v="2"/>
    <x v="0"/>
    <s v="N/A"/>
  </r>
  <r>
    <x v="308"/>
    <x v="183"/>
    <x v="1"/>
    <s v="chrislee@gmail.com"/>
    <x v="7"/>
    <x v="5"/>
    <x v="3"/>
    <n v="49.99"/>
    <x v="8"/>
    <x v="2"/>
    <x v="3"/>
    <x v="1"/>
    <s v="N/A"/>
  </r>
  <r>
    <x v="309"/>
    <x v="184"/>
    <x v="2"/>
    <s v="janedoe@email.com"/>
    <x v="2"/>
    <x v="2"/>
    <x v="2"/>
    <n v="79.989999999999995"/>
    <x v="39"/>
    <x v="2"/>
    <x v="3"/>
    <x v="0"/>
    <s v="N/A"/>
  </r>
  <r>
    <x v="310"/>
    <x v="7"/>
    <x v="1"/>
    <s v="chrislee@gmail.com"/>
    <x v="3"/>
    <x v="0"/>
    <x v="0"/>
    <n v="39.99"/>
    <x v="10"/>
    <x v="2"/>
    <x v="0"/>
    <x v="0"/>
    <s v="N/A"/>
  </r>
  <r>
    <x v="311"/>
    <x v="164"/>
    <x v="2"/>
    <s v="janedoe@yahoo.com"/>
    <x v="0"/>
    <x v="0"/>
    <x v="4"/>
    <n v="15.99"/>
    <x v="9"/>
    <x v="2"/>
    <x v="0"/>
    <x v="0"/>
    <s v="N/A"/>
  </r>
  <r>
    <x v="312"/>
    <x v="185"/>
    <x v="1"/>
    <s v="chrislee@yahoo.com"/>
    <x v="3"/>
    <x v="0"/>
    <x v="4"/>
    <n v="39.99"/>
    <x v="14"/>
    <x v="0"/>
    <x v="4"/>
    <x v="2"/>
    <s v="N/A"/>
  </r>
  <r>
    <x v="313"/>
    <x v="82"/>
    <x v="1"/>
    <s v="chrislee@yahoo.com"/>
    <x v="1"/>
    <x v="1"/>
    <x v="3"/>
    <n v="99.99"/>
    <x v="12"/>
    <x v="2"/>
    <x v="1"/>
    <x v="2"/>
    <s v="N/A"/>
  </r>
  <r>
    <x v="314"/>
    <x v="7"/>
    <x v="3"/>
    <s v="alexkim@gmail.com"/>
    <x v="4"/>
    <x v="1"/>
    <x v="5"/>
    <n v="14.99"/>
    <x v="15"/>
    <x v="3"/>
    <x v="3"/>
    <x v="0"/>
    <s v="N/A"/>
  </r>
  <r>
    <x v="315"/>
    <x v="75"/>
    <x v="5"/>
    <s v="emilychen@gmail.com"/>
    <x v="8"/>
    <x v="5"/>
    <x v="2"/>
    <n v="29.99"/>
    <x v="31"/>
    <x v="3"/>
    <x v="1"/>
    <x v="0"/>
    <s v="N/A"/>
  </r>
  <r>
    <x v="316"/>
    <x v="100"/>
    <x v="5"/>
    <s v="emilychen@gmail.com"/>
    <x v="1"/>
    <x v="1"/>
    <x v="1"/>
    <n v="99.99"/>
    <x v="2"/>
    <x v="2"/>
    <x v="2"/>
    <x v="1"/>
    <s v="N/A"/>
  </r>
  <r>
    <x v="317"/>
    <x v="7"/>
    <x v="3"/>
    <s v="alexkim@email.com"/>
    <x v="3"/>
    <x v="0"/>
    <x v="4"/>
    <n v="39.99"/>
    <x v="14"/>
    <x v="2"/>
    <x v="0"/>
    <x v="0"/>
    <s v="N/A"/>
  </r>
  <r>
    <x v="318"/>
    <x v="2"/>
    <x v="5"/>
    <s v="emilychen@email.com"/>
    <x v="7"/>
    <x v="5"/>
    <x v="1"/>
    <n v="49.99"/>
    <x v="2"/>
    <x v="2"/>
    <x v="1"/>
    <x v="0"/>
    <s v="N/A"/>
  </r>
  <r>
    <x v="319"/>
    <x v="53"/>
    <x v="4"/>
    <s v="mikebrown@yahoo.com"/>
    <x v="6"/>
    <x v="4"/>
    <x v="5"/>
    <n v="4.99"/>
    <x v="11"/>
    <x v="2"/>
    <x v="3"/>
    <x v="0"/>
    <s v="check"/>
  </r>
  <r>
    <x v="320"/>
    <x v="186"/>
    <x v="5"/>
    <s v="emilychen@gmail.com"/>
    <x v="6"/>
    <x v="4"/>
    <x v="5"/>
    <n v="4.99"/>
    <x v="11"/>
    <x v="3"/>
    <x v="1"/>
    <x v="2"/>
    <s v="N/A"/>
  </r>
  <r>
    <x v="321"/>
    <x v="187"/>
    <x v="3"/>
    <s v="alexkim@email.com"/>
    <x v="3"/>
    <x v="0"/>
    <x v="1"/>
    <n v="39.99"/>
    <x v="2"/>
    <x v="3"/>
    <x v="3"/>
    <x v="1"/>
    <s v="N/A"/>
  </r>
  <r>
    <x v="322"/>
    <x v="25"/>
    <x v="0"/>
    <s v="johnsmith@gmail.com"/>
    <x v="4"/>
    <x v="1"/>
    <x v="4"/>
    <n v="14.99"/>
    <x v="6"/>
    <x v="1"/>
    <x v="4"/>
    <x v="1"/>
    <s v="N/A"/>
  </r>
  <r>
    <x v="323"/>
    <x v="7"/>
    <x v="0"/>
    <s v="johnsmith@email.com"/>
    <x v="1"/>
    <x v="1"/>
    <x v="0"/>
    <n v="99.99"/>
    <x v="1"/>
    <x v="2"/>
    <x v="3"/>
    <x v="0"/>
    <s v="N/A"/>
  </r>
  <r>
    <x v="324"/>
    <x v="188"/>
    <x v="7"/>
    <s v="chrislee@yahoo.com"/>
    <x v="0"/>
    <x v="0"/>
    <x v="3"/>
    <n v="15.99"/>
    <x v="45"/>
    <x v="2"/>
    <x v="4"/>
    <x v="0"/>
    <s v="N/A"/>
  </r>
  <r>
    <x v="325"/>
    <x v="189"/>
    <x v="2"/>
    <s v="janedoe@email.com"/>
    <x v="3"/>
    <x v="0"/>
    <x v="2"/>
    <n v="39.99"/>
    <x v="3"/>
    <x v="0"/>
    <x v="4"/>
    <x v="2"/>
    <s v="N/A"/>
  </r>
  <r>
    <x v="326"/>
    <x v="190"/>
    <x v="3"/>
    <s v="alexkim@yahoo.com"/>
    <x v="3"/>
    <x v="0"/>
    <x v="1"/>
    <n v="39.99"/>
    <x v="2"/>
    <x v="2"/>
    <x v="2"/>
    <x v="0"/>
    <s v="N/A"/>
  </r>
  <r>
    <x v="327"/>
    <x v="191"/>
    <x v="5"/>
    <s v="N/A"/>
    <x v="0"/>
    <x v="0"/>
    <x v="4"/>
    <n v="15.99"/>
    <x v="9"/>
    <x v="1"/>
    <x v="2"/>
    <x v="2"/>
    <s v="N/A"/>
  </r>
  <r>
    <x v="328"/>
    <x v="192"/>
    <x v="1"/>
    <s v="chrislee@gmail.com"/>
    <x v="7"/>
    <x v="5"/>
    <x v="5"/>
    <n v="49.99"/>
    <x v="32"/>
    <x v="2"/>
    <x v="0"/>
    <x v="0"/>
    <s v="N/A"/>
  </r>
  <r>
    <x v="329"/>
    <x v="137"/>
    <x v="4"/>
    <s v="mikebrown@yahoo.com"/>
    <x v="8"/>
    <x v="5"/>
    <x v="2"/>
    <n v="29.99"/>
    <x v="31"/>
    <x v="1"/>
    <x v="2"/>
    <x v="0"/>
    <s v="N/A"/>
  </r>
  <r>
    <x v="330"/>
    <x v="139"/>
    <x v="3"/>
    <s v="alexkim@gmail.com"/>
    <x v="1"/>
    <x v="1"/>
    <x v="5"/>
    <n v="99.99"/>
    <x v="18"/>
    <x v="2"/>
    <x v="3"/>
    <x v="0"/>
    <s v="N/A"/>
  </r>
  <r>
    <x v="331"/>
    <x v="193"/>
    <x v="0"/>
    <s v="N/A"/>
    <x v="8"/>
    <x v="5"/>
    <x v="5"/>
    <n v="29.99"/>
    <x v="26"/>
    <x v="2"/>
    <x v="3"/>
    <x v="0"/>
    <s v="N/A"/>
  </r>
  <r>
    <x v="332"/>
    <x v="184"/>
    <x v="6"/>
    <s v="sarahjohnson@gmail.com"/>
    <x v="8"/>
    <x v="5"/>
    <x v="3"/>
    <n v="29.99"/>
    <x v="28"/>
    <x v="3"/>
    <x v="1"/>
    <x v="0"/>
    <s v="N/A"/>
  </r>
  <r>
    <x v="333"/>
    <x v="194"/>
    <x v="1"/>
    <s v="chrislee@email.com"/>
    <x v="4"/>
    <x v="1"/>
    <x v="1"/>
    <n v="14.99"/>
    <x v="2"/>
    <x v="0"/>
    <x v="0"/>
    <x v="1"/>
    <s v="N/A"/>
  </r>
  <r>
    <x v="334"/>
    <x v="195"/>
    <x v="1"/>
    <s v="chrislee@email.com"/>
    <x v="7"/>
    <x v="5"/>
    <x v="1"/>
    <n v="49.99"/>
    <x v="2"/>
    <x v="1"/>
    <x v="4"/>
    <x v="2"/>
    <s v="N/A"/>
  </r>
  <r>
    <x v="335"/>
    <x v="196"/>
    <x v="4"/>
    <s v="mikebrown@gmail.com"/>
    <x v="0"/>
    <x v="0"/>
    <x v="4"/>
    <n v="15.99"/>
    <x v="9"/>
    <x v="2"/>
    <x v="2"/>
    <x v="0"/>
    <s v="N/A"/>
  </r>
  <r>
    <x v="336"/>
    <x v="184"/>
    <x v="0"/>
    <s v="johnsmith@email.com"/>
    <x v="0"/>
    <x v="0"/>
    <x v="4"/>
    <n v="15.99"/>
    <x v="9"/>
    <x v="3"/>
    <x v="4"/>
    <x v="2"/>
    <s v="N/A"/>
  </r>
  <r>
    <x v="337"/>
    <x v="197"/>
    <x v="5"/>
    <s v="emilychen@yahoo.com"/>
    <x v="8"/>
    <x v="5"/>
    <x v="3"/>
    <n v="29.99"/>
    <x v="28"/>
    <x v="2"/>
    <x v="2"/>
    <x v="0"/>
    <s v="N/A"/>
  </r>
  <r>
    <x v="338"/>
    <x v="198"/>
    <x v="2"/>
    <s v="janedoe@gmail.com"/>
    <x v="1"/>
    <x v="1"/>
    <x v="1"/>
    <n v="99.99"/>
    <x v="2"/>
    <x v="2"/>
    <x v="0"/>
    <x v="0"/>
    <s v="N/A"/>
  </r>
  <r>
    <x v="339"/>
    <x v="51"/>
    <x v="4"/>
    <s v="mikebrown@yahoo.com"/>
    <x v="3"/>
    <x v="0"/>
    <x v="1"/>
    <n v="39.99"/>
    <x v="2"/>
    <x v="3"/>
    <x v="0"/>
    <x v="1"/>
    <s v="N/A"/>
  </r>
  <r>
    <x v="340"/>
    <x v="199"/>
    <x v="1"/>
    <s v="chrislee@gmail.com"/>
    <x v="0"/>
    <x v="0"/>
    <x v="4"/>
    <n v="15.99"/>
    <x v="9"/>
    <x v="3"/>
    <x v="2"/>
    <x v="2"/>
    <s v="N/A"/>
  </r>
  <r>
    <x v="341"/>
    <x v="157"/>
    <x v="2"/>
    <s v="janedoe@gmail.com"/>
    <x v="3"/>
    <x v="0"/>
    <x v="4"/>
    <n v="39.99"/>
    <x v="14"/>
    <x v="1"/>
    <x v="2"/>
    <x v="0"/>
    <s v="N/A"/>
  </r>
  <r>
    <x v="342"/>
    <x v="200"/>
    <x v="6"/>
    <s v="N/A"/>
    <x v="3"/>
    <x v="0"/>
    <x v="4"/>
    <n v="39.99"/>
    <x v="14"/>
    <x v="2"/>
    <x v="1"/>
    <x v="0"/>
    <s v="N/A"/>
  </r>
  <r>
    <x v="343"/>
    <x v="7"/>
    <x v="4"/>
    <s v="mikebrown@yahoo.com"/>
    <x v="1"/>
    <x v="1"/>
    <x v="3"/>
    <n v="99.99"/>
    <x v="12"/>
    <x v="3"/>
    <x v="0"/>
    <x v="1"/>
    <s v="N/A"/>
  </r>
  <r>
    <x v="344"/>
    <x v="201"/>
    <x v="2"/>
    <s v="janedoe@email.com"/>
    <x v="5"/>
    <x v="3"/>
    <x v="4"/>
    <n v="59.99"/>
    <x v="24"/>
    <x v="2"/>
    <x v="2"/>
    <x v="1"/>
    <s v="N/A"/>
  </r>
  <r>
    <x v="345"/>
    <x v="202"/>
    <x v="5"/>
    <s v="emilychen@email.com"/>
    <x v="4"/>
    <x v="1"/>
    <x v="4"/>
    <n v="14.99"/>
    <x v="6"/>
    <x v="1"/>
    <x v="0"/>
    <x v="2"/>
    <s v="N/A"/>
  </r>
  <r>
    <x v="346"/>
    <x v="7"/>
    <x v="0"/>
    <s v="johnsmith@email.com"/>
    <x v="0"/>
    <x v="0"/>
    <x v="3"/>
    <n v="15.99"/>
    <x v="45"/>
    <x v="2"/>
    <x v="0"/>
    <x v="1"/>
    <s v="N/A"/>
  </r>
  <r>
    <x v="347"/>
    <x v="133"/>
    <x v="5"/>
    <s v="N/A"/>
    <x v="6"/>
    <x v="4"/>
    <x v="1"/>
    <n v="4.99"/>
    <x v="2"/>
    <x v="3"/>
    <x v="2"/>
    <x v="1"/>
    <s v="N/A"/>
  </r>
  <r>
    <x v="348"/>
    <x v="7"/>
    <x v="2"/>
    <s v="janedoe@gmail.com"/>
    <x v="6"/>
    <x v="4"/>
    <x v="2"/>
    <n v="4.99"/>
    <x v="41"/>
    <x v="0"/>
    <x v="2"/>
    <x v="1"/>
    <s v="N/A"/>
  </r>
  <r>
    <x v="349"/>
    <x v="203"/>
    <x v="0"/>
    <s v="johnsmith@gmail.com"/>
    <x v="3"/>
    <x v="0"/>
    <x v="0"/>
    <n v="39.99"/>
    <x v="10"/>
    <x v="2"/>
    <x v="0"/>
    <x v="2"/>
    <s v="N/A"/>
  </r>
  <r>
    <x v="350"/>
    <x v="204"/>
    <x v="4"/>
    <s v="mikebrown@email.com"/>
    <x v="8"/>
    <x v="5"/>
    <x v="4"/>
    <n v="29.99"/>
    <x v="37"/>
    <x v="2"/>
    <x v="2"/>
    <x v="1"/>
    <s v="N/A"/>
  </r>
  <r>
    <x v="351"/>
    <x v="7"/>
    <x v="4"/>
    <s v="mikebrown@yahoo.com"/>
    <x v="7"/>
    <x v="5"/>
    <x v="5"/>
    <n v="49.99"/>
    <x v="32"/>
    <x v="0"/>
    <x v="1"/>
    <x v="0"/>
    <s v="N/A"/>
  </r>
  <r>
    <x v="352"/>
    <x v="7"/>
    <x v="7"/>
    <s v="chrislee@yahoo.com"/>
    <x v="3"/>
    <x v="0"/>
    <x v="3"/>
    <n v="39.99"/>
    <x v="44"/>
    <x v="1"/>
    <x v="1"/>
    <x v="1"/>
    <s v="N/A"/>
  </r>
  <r>
    <x v="353"/>
    <x v="185"/>
    <x v="2"/>
    <s v="janedoe@email.com"/>
    <x v="3"/>
    <x v="0"/>
    <x v="4"/>
    <n v="39.99"/>
    <x v="14"/>
    <x v="3"/>
    <x v="0"/>
    <x v="0"/>
    <s v="N/A"/>
  </r>
  <r>
    <x v="354"/>
    <x v="90"/>
    <x v="2"/>
    <s v="janedoe@yahoo.com"/>
    <x v="5"/>
    <x v="3"/>
    <x v="2"/>
    <n v="59.99"/>
    <x v="17"/>
    <x v="1"/>
    <x v="1"/>
    <x v="1"/>
    <s v="N/A"/>
  </r>
  <r>
    <x v="355"/>
    <x v="205"/>
    <x v="2"/>
    <s v="janedoe@gmail.com"/>
    <x v="5"/>
    <x v="3"/>
    <x v="2"/>
    <n v="59.99"/>
    <x v="17"/>
    <x v="1"/>
    <x v="0"/>
    <x v="0"/>
    <s v="N/A"/>
  </r>
  <r>
    <x v="356"/>
    <x v="48"/>
    <x v="1"/>
    <s v="chrislee@yahoo.com"/>
    <x v="8"/>
    <x v="5"/>
    <x v="5"/>
    <n v="29.99"/>
    <x v="26"/>
    <x v="2"/>
    <x v="2"/>
    <x v="1"/>
    <s v="N/A"/>
  </r>
  <r>
    <x v="357"/>
    <x v="204"/>
    <x v="1"/>
    <s v="chrislee@email.com"/>
    <x v="6"/>
    <x v="4"/>
    <x v="4"/>
    <n v="4.99"/>
    <x v="36"/>
    <x v="3"/>
    <x v="0"/>
    <x v="0"/>
    <s v="N/A"/>
  </r>
  <r>
    <x v="358"/>
    <x v="7"/>
    <x v="7"/>
    <s v="sarahjohnson@yahoo.com"/>
    <x v="0"/>
    <x v="0"/>
    <x v="1"/>
    <n v="15.99"/>
    <x v="2"/>
    <x v="2"/>
    <x v="0"/>
    <x v="0"/>
    <s v="N/A"/>
  </r>
  <r>
    <x v="359"/>
    <x v="115"/>
    <x v="6"/>
    <s v="sarahjohnson@email.com"/>
    <x v="8"/>
    <x v="5"/>
    <x v="4"/>
    <n v="29.99"/>
    <x v="37"/>
    <x v="1"/>
    <x v="4"/>
    <x v="0"/>
    <s v="N/A"/>
  </r>
  <r>
    <x v="360"/>
    <x v="7"/>
    <x v="7"/>
    <s v="chrislee@gmail.com"/>
    <x v="1"/>
    <x v="1"/>
    <x v="1"/>
    <n v="99.99"/>
    <x v="2"/>
    <x v="2"/>
    <x v="4"/>
    <x v="0"/>
    <s v="N/A"/>
  </r>
  <r>
    <x v="361"/>
    <x v="206"/>
    <x v="0"/>
    <s v="johnsmith@gmail.com"/>
    <x v="1"/>
    <x v="1"/>
    <x v="2"/>
    <n v="99.99"/>
    <x v="27"/>
    <x v="2"/>
    <x v="0"/>
    <x v="2"/>
    <s v="N/A"/>
  </r>
  <r>
    <x v="362"/>
    <x v="7"/>
    <x v="3"/>
    <s v="alexkim@email.com"/>
    <x v="8"/>
    <x v="5"/>
    <x v="3"/>
    <n v="29.99"/>
    <x v="28"/>
    <x v="3"/>
    <x v="0"/>
    <x v="1"/>
    <s v="N/A"/>
  </r>
  <r>
    <x v="363"/>
    <x v="207"/>
    <x v="3"/>
    <s v="alexkim@gmail.com"/>
    <x v="1"/>
    <x v="1"/>
    <x v="3"/>
    <n v="99.99"/>
    <x v="12"/>
    <x v="2"/>
    <x v="1"/>
    <x v="2"/>
    <s v="N/A"/>
  </r>
  <r>
    <x v="364"/>
    <x v="70"/>
    <x v="0"/>
    <s v="johnsmith@yahoo.com"/>
    <x v="1"/>
    <x v="1"/>
    <x v="2"/>
    <n v="99.99"/>
    <x v="27"/>
    <x v="2"/>
    <x v="2"/>
    <x v="0"/>
    <s v="N/A"/>
  </r>
  <r>
    <x v="365"/>
    <x v="208"/>
    <x v="5"/>
    <s v="emilychen@email.com"/>
    <x v="0"/>
    <x v="0"/>
    <x v="4"/>
    <n v="15.99"/>
    <x v="9"/>
    <x v="2"/>
    <x v="0"/>
    <x v="0"/>
    <s v="N/A"/>
  </r>
  <r>
    <x v="366"/>
    <x v="209"/>
    <x v="3"/>
    <s v="alexkim@email.com"/>
    <x v="1"/>
    <x v="1"/>
    <x v="1"/>
    <n v="99.99"/>
    <x v="2"/>
    <x v="3"/>
    <x v="1"/>
    <x v="0"/>
    <s v="N/A"/>
  </r>
  <r>
    <x v="367"/>
    <x v="7"/>
    <x v="4"/>
    <s v="mikebrown@email.com"/>
    <x v="5"/>
    <x v="3"/>
    <x v="0"/>
    <n v="59.99"/>
    <x v="30"/>
    <x v="0"/>
    <x v="0"/>
    <x v="0"/>
    <s v="check"/>
  </r>
  <r>
    <x v="368"/>
    <x v="7"/>
    <x v="5"/>
    <s v="emilychen@email.com"/>
    <x v="4"/>
    <x v="1"/>
    <x v="1"/>
    <n v="14.99"/>
    <x v="2"/>
    <x v="2"/>
    <x v="4"/>
    <x v="2"/>
    <s v="N/A"/>
  </r>
  <r>
    <x v="369"/>
    <x v="210"/>
    <x v="6"/>
    <s v="sarahjohnson@email.com"/>
    <x v="0"/>
    <x v="0"/>
    <x v="3"/>
    <n v="15.99"/>
    <x v="45"/>
    <x v="2"/>
    <x v="0"/>
    <x v="1"/>
    <s v="N/A"/>
  </r>
  <r>
    <x v="370"/>
    <x v="211"/>
    <x v="6"/>
    <s v="N/A"/>
    <x v="6"/>
    <x v="4"/>
    <x v="4"/>
    <n v="4.99"/>
    <x v="36"/>
    <x v="2"/>
    <x v="1"/>
    <x v="1"/>
    <s v="N/A"/>
  </r>
  <r>
    <x v="371"/>
    <x v="212"/>
    <x v="4"/>
    <s v="mikebrown@yahoo.com"/>
    <x v="5"/>
    <x v="3"/>
    <x v="5"/>
    <n v="59.99"/>
    <x v="38"/>
    <x v="3"/>
    <x v="4"/>
    <x v="0"/>
    <s v="N/A"/>
  </r>
  <r>
    <x v="372"/>
    <x v="7"/>
    <x v="4"/>
    <s v="mikebrown@email.com"/>
    <x v="6"/>
    <x v="4"/>
    <x v="3"/>
    <n v="4.99"/>
    <x v="21"/>
    <x v="2"/>
    <x v="1"/>
    <x v="0"/>
    <s v="N/A"/>
  </r>
  <r>
    <x v="373"/>
    <x v="213"/>
    <x v="6"/>
    <s v="sarahjohnson@email.com"/>
    <x v="0"/>
    <x v="0"/>
    <x v="1"/>
    <n v="15.99"/>
    <x v="2"/>
    <x v="0"/>
    <x v="0"/>
    <x v="1"/>
    <s v="N/A"/>
  </r>
  <r>
    <x v="374"/>
    <x v="214"/>
    <x v="0"/>
    <s v="johnsmith@gmail.com"/>
    <x v="2"/>
    <x v="2"/>
    <x v="4"/>
    <n v="79.989999999999995"/>
    <x v="19"/>
    <x v="2"/>
    <x v="0"/>
    <x v="0"/>
    <s v="N/A"/>
  </r>
  <r>
    <x v="375"/>
    <x v="186"/>
    <x v="0"/>
    <s v="johnsmith@yahoo.com"/>
    <x v="8"/>
    <x v="5"/>
    <x v="3"/>
    <n v="29.99"/>
    <x v="28"/>
    <x v="1"/>
    <x v="4"/>
    <x v="2"/>
    <s v="N/A"/>
  </r>
  <r>
    <x v="376"/>
    <x v="7"/>
    <x v="6"/>
    <s v="sarahjohnson@yahoo.com"/>
    <x v="8"/>
    <x v="5"/>
    <x v="4"/>
    <n v="29.99"/>
    <x v="37"/>
    <x v="2"/>
    <x v="3"/>
    <x v="1"/>
    <s v="N/A"/>
  </r>
  <r>
    <x v="377"/>
    <x v="215"/>
    <x v="3"/>
    <s v="alexkim@email.com"/>
    <x v="5"/>
    <x v="3"/>
    <x v="1"/>
    <n v="59.99"/>
    <x v="2"/>
    <x v="2"/>
    <x v="2"/>
    <x v="2"/>
    <s v="N/A"/>
  </r>
  <r>
    <x v="378"/>
    <x v="142"/>
    <x v="3"/>
    <s v="alexkim@yahoo.com"/>
    <x v="2"/>
    <x v="2"/>
    <x v="5"/>
    <n v="79.989999999999995"/>
    <x v="23"/>
    <x v="2"/>
    <x v="3"/>
    <x v="2"/>
    <s v="N/A"/>
  </r>
  <r>
    <x v="379"/>
    <x v="216"/>
    <x v="4"/>
    <s v="mikebrown@gmail.com"/>
    <x v="5"/>
    <x v="3"/>
    <x v="4"/>
    <n v="59.99"/>
    <x v="24"/>
    <x v="1"/>
    <x v="4"/>
    <x v="0"/>
    <s v="N/A"/>
  </r>
  <r>
    <x v="380"/>
    <x v="7"/>
    <x v="3"/>
    <s v="alexkim@gmail.com"/>
    <x v="6"/>
    <x v="4"/>
    <x v="4"/>
    <n v="4.99"/>
    <x v="36"/>
    <x v="2"/>
    <x v="3"/>
    <x v="0"/>
    <s v="N/A"/>
  </r>
  <r>
    <x v="381"/>
    <x v="44"/>
    <x v="0"/>
    <s v="johnsmith@email.com"/>
    <x v="7"/>
    <x v="5"/>
    <x v="2"/>
    <n v="49.99"/>
    <x v="43"/>
    <x v="2"/>
    <x v="4"/>
    <x v="1"/>
    <s v="N/A"/>
  </r>
  <r>
    <x v="382"/>
    <x v="7"/>
    <x v="3"/>
    <s v="alexkim@gmail.com"/>
    <x v="4"/>
    <x v="1"/>
    <x v="0"/>
    <n v="14.99"/>
    <x v="25"/>
    <x v="1"/>
    <x v="0"/>
    <x v="2"/>
    <s v="N/A"/>
  </r>
  <r>
    <x v="383"/>
    <x v="213"/>
    <x v="6"/>
    <s v="sarahjohnson@yahoo.com"/>
    <x v="1"/>
    <x v="1"/>
    <x v="4"/>
    <n v="99.99"/>
    <x v="22"/>
    <x v="1"/>
    <x v="2"/>
    <x v="0"/>
    <s v="N/A"/>
  </r>
  <r>
    <x v="384"/>
    <x v="217"/>
    <x v="6"/>
    <s v="sarahjohnson@gmail.com"/>
    <x v="3"/>
    <x v="0"/>
    <x v="0"/>
    <n v="39.99"/>
    <x v="10"/>
    <x v="2"/>
    <x v="4"/>
    <x v="0"/>
    <s v="N/A"/>
  </r>
  <r>
    <x v="385"/>
    <x v="83"/>
    <x v="4"/>
    <s v="mikebrown@yahoo.com"/>
    <x v="1"/>
    <x v="1"/>
    <x v="4"/>
    <n v="99.99"/>
    <x v="22"/>
    <x v="2"/>
    <x v="2"/>
    <x v="0"/>
    <s v="N/A"/>
  </r>
  <r>
    <x v="386"/>
    <x v="114"/>
    <x v="2"/>
    <s v="janedoe@gmail.com"/>
    <x v="1"/>
    <x v="1"/>
    <x v="2"/>
    <n v="99.99"/>
    <x v="27"/>
    <x v="2"/>
    <x v="3"/>
    <x v="1"/>
    <s v="N/A"/>
  </r>
  <r>
    <x v="387"/>
    <x v="15"/>
    <x v="5"/>
    <s v="emilychen@yahoo.com"/>
    <x v="1"/>
    <x v="1"/>
    <x v="1"/>
    <n v="99.99"/>
    <x v="2"/>
    <x v="3"/>
    <x v="2"/>
    <x v="0"/>
    <s v="N/A"/>
  </r>
  <r>
    <x v="388"/>
    <x v="218"/>
    <x v="1"/>
    <s v="chrislee@gmail.com"/>
    <x v="1"/>
    <x v="1"/>
    <x v="4"/>
    <n v="99.99"/>
    <x v="22"/>
    <x v="2"/>
    <x v="3"/>
    <x v="2"/>
    <s v="N/A"/>
  </r>
  <r>
    <x v="389"/>
    <x v="99"/>
    <x v="4"/>
    <s v="mikebrown@gmail.com"/>
    <x v="3"/>
    <x v="0"/>
    <x v="4"/>
    <n v="39.99"/>
    <x v="14"/>
    <x v="3"/>
    <x v="0"/>
    <x v="0"/>
    <s v="N/A"/>
  </r>
  <r>
    <x v="390"/>
    <x v="7"/>
    <x v="2"/>
    <s v="janedoe@yahoo.com"/>
    <x v="3"/>
    <x v="0"/>
    <x v="2"/>
    <n v="39.99"/>
    <x v="3"/>
    <x v="2"/>
    <x v="0"/>
    <x v="1"/>
    <s v="N/A"/>
  </r>
  <r>
    <x v="391"/>
    <x v="7"/>
    <x v="2"/>
    <s v="janedoe@gmail.com"/>
    <x v="0"/>
    <x v="0"/>
    <x v="1"/>
    <n v="15.99"/>
    <x v="2"/>
    <x v="2"/>
    <x v="2"/>
    <x v="1"/>
    <s v="check"/>
  </r>
  <r>
    <x v="392"/>
    <x v="219"/>
    <x v="2"/>
    <s v="janedoe@gmail.com"/>
    <x v="7"/>
    <x v="5"/>
    <x v="2"/>
    <n v="49.99"/>
    <x v="43"/>
    <x v="1"/>
    <x v="0"/>
    <x v="0"/>
    <s v="N/A"/>
  </r>
  <r>
    <x v="393"/>
    <x v="7"/>
    <x v="3"/>
    <s v="alexkim@yahoo.com"/>
    <x v="0"/>
    <x v="0"/>
    <x v="4"/>
    <n v="15.99"/>
    <x v="9"/>
    <x v="2"/>
    <x v="1"/>
    <x v="2"/>
    <s v="N/A"/>
  </r>
  <r>
    <x v="394"/>
    <x v="220"/>
    <x v="3"/>
    <s v="alexkim@yahoo.com"/>
    <x v="6"/>
    <x v="4"/>
    <x v="4"/>
    <n v="4.99"/>
    <x v="36"/>
    <x v="1"/>
    <x v="1"/>
    <x v="0"/>
    <s v="N/A"/>
  </r>
  <r>
    <x v="395"/>
    <x v="7"/>
    <x v="4"/>
    <s v="mikebrown@gmail.com"/>
    <x v="3"/>
    <x v="0"/>
    <x v="3"/>
    <n v="39.99"/>
    <x v="44"/>
    <x v="1"/>
    <x v="1"/>
    <x v="2"/>
    <s v="N/A"/>
  </r>
  <r>
    <x v="396"/>
    <x v="12"/>
    <x v="0"/>
    <s v="johnsmith@email.com"/>
    <x v="8"/>
    <x v="5"/>
    <x v="4"/>
    <n v="29.99"/>
    <x v="37"/>
    <x v="2"/>
    <x v="0"/>
    <x v="2"/>
    <s v="N/A"/>
  </r>
  <r>
    <x v="397"/>
    <x v="7"/>
    <x v="6"/>
    <s v="sarahjohnson@gmail.com"/>
    <x v="2"/>
    <x v="2"/>
    <x v="4"/>
    <n v="79.989999999999995"/>
    <x v="19"/>
    <x v="0"/>
    <x v="4"/>
    <x v="0"/>
    <s v="N/A"/>
  </r>
  <r>
    <x v="398"/>
    <x v="7"/>
    <x v="3"/>
    <s v="alexkim@email.com"/>
    <x v="5"/>
    <x v="3"/>
    <x v="5"/>
    <n v="59.99"/>
    <x v="38"/>
    <x v="2"/>
    <x v="0"/>
    <x v="0"/>
    <s v="N/A"/>
  </r>
  <r>
    <x v="399"/>
    <x v="179"/>
    <x v="5"/>
    <s v="emilychen@email.com"/>
    <x v="6"/>
    <x v="4"/>
    <x v="5"/>
    <n v="4.99"/>
    <x v="11"/>
    <x v="0"/>
    <x v="2"/>
    <x v="0"/>
    <s v="N/A"/>
  </r>
  <r>
    <x v="400"/>
    <x v="2"/>
    <x v="2"/>
    <s v="janedoe@yahoo.com"/>
    <x v="5"/>
    <x v="3"/>
    <x v="4"/>
    <n v="59.99"/>
    <x v="24"/>
    <x v="0"/>
    <x v="3"/>
    <x v="0"/>
    <s v="N/A"/>
  </r>
  <r>
    <x v="401"/>
    <x v="221"/>
    <x v="1"/>
    <s v="chrislee@gmail.com"/>
    <x v="5"/>
    <x v="3"/>
    <x v="0"/>
    <n v="59.99"/>
    <x v="30"/>
    <x v="1"/>
    <x v="2"/>
    <x v="1"/>
    <s v="N/A"/>
  </r>
  <r>
    <x v="402"/>
    <x v="201"/>
    <x v="2"/>
    <s v="janedoe@yahoo.com"/>
    <x v="7"/>
    <x v="5"/>
    <x v="1"/>
    <n v="49.99"/>
    <x v="2"/>
    <x v="0"/>
    <x v="2"/>
    <x v="0"/>
    <s v="N/A"/>
  </r>
  <r>
    <x v="403"/>
    <x v="222"/>
    <x v="1"/>
    <s v="chrislee@email.com"/>
    <x v="3"/>
    <x v="0"/>
    <x v="2"/>
    <n v="39.99"/>
    <x v="3"/>
    <x v="2"/>
    <x v="1"/>
    <x v="1"/>
    <s v="N/A"/>
  </r>
  <r>
    <x v="404"/>
    <x v="79"/>
    <x v="1"/>
    <s v="chrislee@yahoo.com"/>
    <x v="1"/>
    <x v="1"/>
    <x v="4"/>
    <n v="99.99"/>
    <x v="22"/>
    <x v="2"/>
    <x v="3"/>
    <x v="0"/>
    <s v="N/A"/>
  </r>
  <r>
    <x v="405"/>
    <x v="180"/>
    <x v="0"/>
    <s v="johnsmith@yahoo.com"/>
    <x v="5"/>
    <x v="3"/>
    <x v="1"/>
    <n v="59.99"/>
    <x v="2"/>
    <x v="3"/>
    <x v="0"/>
    <x v="0"/>
    <s v="N/A"/>
  </r>
  <r>
    <x v="406"/>
    <x v="52"/>
    <x v="1"/>
    <s v="chrislee@gmail.com"/>
    <x v="6"/>
    <x v="4"/>
    <x v="1"/>
    <n v="4.99"/>
    <x v="2"/>
    <x v="2"/>
    <x v="0"/>
    <x v="1"/>
    <s v="N/A"/>
  </r>
  <r>
    <x v="407"/>
    <x v="7"/>
    <x v="0"/>
    <s v="johnsmith@yahoo.com"/>
    <x v="5"/>
    <x v="3"/>
    <x v="1"/>
    <n v="59.99"/>
    <x v="2"/>
    <x v="2"/>
    <x v="0"/>
    <x v="1"/>
    <s v="N/A"/>
  </r>
  <r>
    <x v="408"/>
    <x v="178"/>
    <x v="1"/>
    <s v="chrislee@gmail.com"/>
    <x v="5"/>
    <x v="3"/>
    <x v="1"/>
    <n v="59.99"/>
    <x v="2"/>
    <x v="2"/>
    <x v="0"/>
    <x v="1"/>
    <s v="N/A"/>
  </r>
  <r>
    <x v="409"/>
    <x v="7"/>
    <x v="7"/>
    <s v="mikebrown@gmail.com"/>
    <x v="6"/>
    <x v="4"/>
    <x v="0"/>
    <n v="4.99"/>
    <x v="35"/>
    <x v="2"/>
    <x v="2"/>
    <x v="0"/>
    <s v="N/A"/>
  </r>
  <r>
    <x v="410"/>
    <x v="223"/>
    <x v="5"/>
    <s v="emilychen@email.com"/>
    <x v="4"/>
    <x v="1"/>
    <x v="3"/>
    <n v="14.99"/>
    <x v="4"/>
    <x v="2"/>
    <x v="2"/>
    <x v="0"/>
    <s v="N/A"/>
  </r>
  <r>
    <x v="411"/>
    <x v="224"/>
    <x v="0"/>
    <s v="johnsmith@email.com"/>
    <x v="8"/>
    <x v="5"/>
    <x v="0"/>
    <n v="29.99"/>
    <x v="16"/>
    <x v="2"/>
    <x v="2"/>
    <x v="0"/>
    <s v="N/A"/>
  </r>
  <r>
    <x v="412"/>
    <x v="7"/>
    <x v="6"/>
    <s v="sarahjohnson@gmail.com"/>
    <x v="3"/>
    <x v="0"/>
    <x v="1"/>
    <n v="39.99"/>
    <x v="2"/>
    <x v="2"/>
    <x v="2"/>
    <x v="0"/>
    <s v="N/A"/>
  </r>
  <r>
    <x v="413"/>
    <x v="85"/>
    <x v="6"/>
    <s v="N/A"/>
    <x v="1"/>
    <x v="1"/>
    <x v="2"/>
    <n v="99.99"/>
    <x v="27"/>
    <x v="2"/>
    <x v="2"/>
    <x v="0"/>
    <s v="N/A"/>
  </r>
  <r>
    <x v="414"/>
    <x v="7"/>
    <x v="2"/>
    <s v="janedoe@gmail.com"/>
    <x v="4"/>
    <x v="1"/>
    <x v="3"/>
    <n v="14.99"/>
    <x v="4"/>
    <x v="0"/>
    <x v="0"/>
    <x v="1"/>
    <s v="N/A"/>
  </r>
  <r>
    <x v="415"/>
    <x v="225"/>
    <x v="4"/>
    <s v="mikebrown@gmail.com"/>
    <x v="4"/>
    <x v="1"/>
    <x v="4"/>
    <n v="14.99"/>
    <x v="6"/>
    <x v="0"/>
    <x v="2"/>
    <x v="0"/>
    <s v="N/A"/>
  </r>
  <r>
    <x v="416"/>
    <x v="81"/>
    <x v="0"/>
    <s v="johnsmith@email.com"/>
    <x v="6"/>
    <x v="4"/>
    <x v="0"/>
    <n v="4.99"/>
    <x v="35"/>
    <x v="1"/>
    <x v="2"/>
    <x v="0"/>
    <s v="N/A"/>
  </r>
  <r>
    <x v="417"/>
    <x v="226"/>
    <x v="5"/>
    <s v="emilychen@gmail.com"/>
    <x v="5"/>
    <x v="3"/>
    <x v="0"/>
    <n v="59.99"/>
    <x v="30"/>
    <x v="2"/>
    <x v="2"/>
    <x v="0"/>
    <s v="N/A"/>
  </r>
  <r>
    <x v="418"/>
    <x v="190"/>
    <x v="5"/>
    <s v="emilychen@yahoo.com"/>
    <x v="0"/>
    <x v="0"/>
    <x v="4"/>
    <n v="15.99"/>
    <x v="9"/>
    <x v="3"/>
    <x v="4"/>
    <x v="0"/>
    <s v="N/A"/>
  </r>
  <r>
    <x v="419"/>
    <x v="42"/>
    <x v="7"/>
    <s v="alexkim@email.com"/>
    <x v="1"/>
    <x v="1"/>
    <x v="2"/>
    <n v="99.99"/>
    <x v="27"/>
    <x v="2"/>
    <x v="2"/>
    <x v="0"/>
    <s v="N/A"/>
  </r>
  <r>
    <x v="420"/>
    <x v="217"/>
    <x v="1"/>
    <s v="chrislee@email.com"/>
    <x v="6"/>
    <x v="4"/>
    <x v="2"/>
    <n v="4.99"/>
    <x v="41"/>
    <x v="2"/>
    <x v="0"/>
    <x v="0"/>
    <s v="N/A"/>
  </r>
  <r>
    <x v="421"/>
    <x v="227"/>
    <x v="5"/>
    <s v="emilychen@yahoo.com"/>
    <x v="4"/>
    <x v="1"/>
    <x v="0"/>
    <n v="14.99"/>
    <x v="25"/>
    <x v="2"/>
    <x v="0"/>
    <x v="1"/>
    <s v="N/A"/>
  </r>
  <r>
    <x v="422"/>
    <x v="66"/>
    <x v="4"/>
    <s v="mikebrown@email.com"/>
    <x v="0"/>
    <x v="0"/>
    <x v="1"/>
    <n v="15.99"/>
    <x v="2"/>
    <x v="2"/>
    <x v="1"/>
    <x v="0"/>
    <s v="N/A"/>
  </r>
  <r>
    <x v="423"/>
    <x v="228"/>
    <x v="3"/>
    <s v="alexkim@yahoo.com"/>
    <x v="4"/>
    <x v="1"/>
    <x v="1"/>
    <n v="14.99"/>
    <x v="2"/>
    <x v="2"/>
    <x v="4"/>
    <x v="1"/>
    <s v="N/A"/>
  </r>
  <r>
    <x v="424"/>
    <x v="87"/>
    <x v="4"/>
    <s v="mikebrown@gmail.com"/>
    <x v="2"/>
    <x v="2"/>
    <x v="0"/>
    <n v="79.989999999999995"/>
    <x v="7"/>
    <x v="2"/>
    <x v="2"/>
    <x v="0"/>
    <s v="N/A"/>
  </r>
  <r>
    <x v="425"/>
    <x v="229"/>
    <x v="6"/>
    <s v="sarahjohnson@email.com"/>
    <x v="1"/>
    <x v="1"/>
    <x v="2"/>
    <n v="99.99"/>
    <x v="27"/>
    <x v="0"/>
    <x v="3"/>
    <x v="0"/>
    <s v="N/A"/>
  </r>
  <r>
    <x v="426"/>
    <x v="192"/>
    <x v="3"/>
    <s v="alexkim@email.com"/>
    <x v="0"/>
    <x v="0"/>
    <x v="5"/>
    <n v="15.99"/>
    <x v="40"/>
    <x v="2"/>
    <x v="4"/>
    <x v="1"/>
    <s v="N/A"/>
  </r>
  <r>
    <x v="427"/>
    <x v="230"/>
    <x v="2"/>
    <s v="janedoe@email.com"/>
    <x v="2"/>
    <x v="2"/>
    <x v="1"/>
    <n v="79.989999999999995"/>
    <x v="2"/>
    <x v="2"/>
    <x v="4"/>
    <x v="0"/>
    <s v="N/A"/>
  </r>
  <r>
    <x v="428"/>
    <x v="85"/>
    <x v="2"/>
    <s v="janedoe@gmail.com"/>
    <x v="0"/>
    <x v="0"/>
    <x v="5"/>
    <n v="15.99"/>
    <x v="40"/>
    <x v="2"/>
    <x v="4"/>
    <x v="0"/>
    <s v="N/A"/>
  </r>
  <r>
    <x v="429"/>
    <x v="231"/>
    <x v="2"/>
    <s v="janedoe@yahoo.com"/>
    <x v="2"/>
    <x v="2"/>
    <x v="2"/>
    <n v="79.989999999999995"/>
    <x v="39"/>
    <x v="2"/>
    <x v="0"/>
    <x v="1"/>
    <s v="N/A"/>
  </r>
  <r>
    <x v="430"/>
    <x v="232"/>
    <x v="7"/>
    <s v="alexkim@gmail.com"/>
    <x v="0"/>
    <x v="0"/>
    <x v="5"/>
    <n v="15.99"/>
    <x v="40"/>
    <x v="1"/>
    <x v="3"/>
    <x v="2"/>
    <s v="N/A"/>
  </r>
  <r>
    <x v="431"/>
    <x v="6"/>
    <x v="0"/>
    <s v="johnsmith@gmail.com"/>
    <x v="0"/>
    <x v="0"/>
    <x v="4"/>
    <n v="15.99"/>
    <x v="9"/>
    <x v="2"/>
    <x v="0"/>
    <x v="1"/>
    <s v="N/A"/>
  </r>
  <r>
    <x v="432"/>
    <x v="0"/>
    <x v="2"/>
    <s v="janedoe@gmail.com"/>
    <x v="4"/>
    <x v="1"/>
    <x v="4"/>
    <n v="14.99"/>
    <x v="6"/>
    <x v="2"/>
    <x v="2"/>
    <x v="2"/>
    <s v="N/A"/>
  </r>
  <r>
    <x v="433"/>
    <x v="7"/>
    <x v="1"/>
    <s v="chrislee@email.com"/>
    <x v="5"/>
    <x v="3"/>
    <x v="4"/>
    <n v="59.99"/>
    <x v="24"/>
    <x v="2"/>
    <x v="1"/>
    <x v="1"/>
    <s v="N/A"/>
  </r>
  <r>
    <x v="434"/>
    <x v="7"/>
    <x v="3"/>
    <s v="alexkim@email.com"/>
    <x v="2"/>
    <x v="2"/>
    <x v="3"/>
    <n v="79.989999999999995"/>
    <x v="29"/>
    <x v="2"/>
    <x v="4"/>
    <x v="0"/>
    <s v="N/A"/>
  </r>
  <r>
    <x v="435"/>
    <x v="233"/>
    <x v="6"/>
    <s v="sarahjohnson@email.com"/>
    <x v="8"/>
    <x v="5"/>
    <x v="0"/>
    <n v="29.99"/>
    <x v="16"/>
    <x v="0"/>
    <x v="4"/>
    <x v="0"/>
    <s v="N/A"/>
  </r>
  <r>
    <x v="436"/>
    <x v="22"/>
    <x v="4"/>
    <s v="mikebrown@email.com"/>
    <x v="6"/>
    <x v="4"/>
    <x v="3"/>
    <n v="4.99"/>
    <x v="21"/>
    <x v="0"/>
    <x v="0"/>
    <x v="0"/>
    <s v="N/A"/>
  </r>
  <r>
    <x v="437"/>
    <x v="7"/>
    <x v="0"/>
    <s v="johnsmith@gmail.com"/>
    <x v="3"/>
    <x v="0"/>
    <x v="5"/>
    <n v="39.99"/>
    <x v="34"/>
    <x v="2"/>
    <x v="2"/>
    <x v="0"/>
    <s v="N/A"/>
  </r>
  <r>
    <x v="438"/>
    <x v="7"/>
    <x v="0"/>
    <s v="johnsmith@email.com"/>
    <x v="2"/>
    <x v="2"/>
    <x v="0"/>
    <n v="79.989999999999995"/>
    <x v="7"/>
    <x v="0"/>
    <x v="1"/>
    <x v="0"/>
    <s v="N/A"/>
  </r>
  <r>
    <x v="439"/>
    <x v="33"/>
    <x v="0"/>
    <s v="johnsmith@gmail.com"/>
    <x v="1"/>
    <x v="1"/>
    <x v="4"/>
    <n v="99.99"/>
    <x v="22"/>
    <x v="1"/>
    <x v="2"/>
    <x v="0"/>
    <s v="N/A"/>
  </r>
  <r>
    <x v="440"/>
    <x v="202"/>
    <x v="5"/>
    <s v="emilychen@email.com"/>
    <x v="3"/>
    <x v="0"/>
    <x v="1"/>
    <n v="39.99"/>
    <x v="2"/>
    <x v="2"/>
    <x v="2"/>
    <x v="0"/>
    <s v="N/A"/>
  </r>
  <r>
    <x v="441"/>
    <x v="45"/>
    <x v="6"/>
    <s v="sarahjohnson@email.com"/>
    <x v="3"/>
    <x v="0"/>
    <x v="5"/>
    <n v="39.99"/>
    <x v="34"/>
    <x v="2"/>
    <x v="4"/>
    <x v="2"/>
    <s v="N/A"/>
  </r>
  <r>
    <x v="442"/>
    <x v="234"/>
    <x v="1"/>
    <s v="chrislee@gmail.com"/>
    <x v="3"/>
    <x v="0"/>
    <x v="4"/>
    <n v="39.99"/>
    <x v="14"/>
    <x v="2"/>
    <x v="2"/>
    <x v="2"/>
    <s v="N/A"/>
  </r>
  <r>
    <x v="443"/>
    <x v="193"/>
    <x v="4"/>
    <s v="mikebrown@gmail.com"/>
    <x v="5"/>
    <x v="3"/>
    <x v="5"/>
    <n v="59.99"/>
    <x v="38"/>
    <x v="3"/>
    <x v="0"/>
    <x v="0"/>
    <s v="N/A"/>
  </r>
  <r>
    <x v="444"/>
    <x v="235"/>
    <x v="3"/>
    <s v="alexkim@email.com"/>
    <x v="7"/>
    <x v="5"/>
    <x v="2"/>
    <n v="49.99"/>
    <x v="43"/>
    <x v="2"/>
    <x v="0"/>
    <x v="2"/>
    <s v="N/A"/>
  </r>
  <r>
    <x v="445"/>
    <x v="107"/>
    <x v="5"/>
    <s v="emilychen@email.com"/>
    <x v="8"/>
    <x v="5"/>
    <x v="4"/>
    <n v="29.99"/>
    <x v="37"/>
    <x v="3"/>
    <x v="3"/>
    <x v="0"/>
    <s v="N/A"/>
  </r>
  <r>
    <x v="446"/>
    <x v="236"/>
    <x v="6"/>
    <s v="sarahjohnson@gmail.com"/>
    <x v="1"/>
    <x v="1"/>
    <x v="2"/>
    <n v="99.99"/>
    <x v="27"/>
    <x v="2"/>
    <x v="3"/>
    <x v="2"/>
    <s v="N/A"/>
  </r>
  <r>
    <x v="447"/>
    <x v="237"/>
    <x v="6"/>
    <s v="sarahjohnson@yahoo.com"/>
    <x v="1"/>
    <x v="1"/>
    <x v="4"/>
    <n v="99.99"/>
    <x v="22"/>
    <x v="2"/>
    <x v="0"/>
    <x v="0"/>
    <s v="N/A"/>
  </r>
  <r>
    <x v="448"/>
    <x v="238"/>
    <x v="1"/>
    <s v="chrislee@yahoo.com"/>
    <x v="0"/>
    <x v="0"/>
    <x v="2"/>
    <n v="15.99"/>
    <x v="42"/>
    <x v="1"/>
    <x v="0"/>
    <x v="0"/>
    <s v="N/A"/>
  </r>
  <r>
    <x v="449"/>
    <x v="7"/>
    <x v="1"/>
    <s v="chrislee@email.com"/>
    <x v="7"/>
    <x v="5"/>
    <x v="5"/>
    <n v="49.99"/>
    <x v="32"/>
    <x v="1"/>
    <x v="0"/>
    <x v="0"/>
    <s v="N/A"/>
  </r>
  <r>
    <x v="450"/>
    <x v="7"/>
    <x v="5"/>
    <s v="emilychen@gmail.com"/>
    <x v="0"/>
    <x v="0"/>
    <x v="1"/>
    <n v="15.99"/>
    <x v="2"/>
    <x v="0"/>
    <x v="2"/>
    <x v="0"/>
    <s v="N/A"/>
  </r>
  <r>
    <x v="451"/>
    <x v="97"/>
    <x v="3"/>
    <s v="alexkim@yahoo.com"/>
    <x v="5"/>
    <x v="3"/>
    <x v="2"/>
    <n v="59.99"/>
    <x v="17"/>
    <x v="2"/>
    <x v="1"/>
    <x v="1"/>
    <s v="N/A"/>
  </r>
  <r>
    <x v="452"/>
    <x v="217"/>
    <x v="1"/>
    <s v="chrislee@email.com"/>
    <x v="8"/>
    <x v="5"/>
    <x v="4"/>
    <n v="29.99"/>
    <x v="37"/>
    <x v="2"/>
    <x v="2"/>
    <x v="0"/>
    <s v="N/A"/>
  </r>
  <r>
    <x v="453"/>
    <x v="200"/>
    <x v="2"/>
    <s v="janedoe@yahoo.com"/>
    <x v="5"/>
    <x v="3"/>
    <x v="4"/>
    <n v="59.99"/>
    <x v="24"/>
    <x v="2"/>
    <x v="3"/>
    <x v="0"/>
    <s v="N/A"/>
  </r>
  <r>
    <x v="454"/>
    <x v="239"/>
    <x v="3"/>
    <s v="alexkim@gmail.com"/>
    <x v="8"/>
    <x v="5"/>
    <x v="4"/>
    <n v="29.99"/>
    <x v="37"/>
    <x v="0"/>
    <x v="0"/>
    <x v="0"/>
    <s v="N/A"/>
  </r>
  <r>
    <x v="455"/>
    <x v="240"/>
    <x v="6"/>
    <s v="sarahjohnson@email.com"/>
    <x v="7"/>
    <x v="5"/>
    <x v="1"/>
    <n v="49.99"/>
    <x v="2"/>
    <x v="1"/>
    <x v="0"/>
    <x v="0"/>
    <s v="N/A"/>
  </r>
  <r>
    <x v="456"/>
    <x v="241"/>
    <x v="4"/>
    <s v="mikebrown@yahoo.com"/>
    <x v="0"/>
    <x v="0"/>
    <x v="4"/>
    <n v="15.99"/>
    <x v="9"/>
    <x v="2"/>
    <x v="4"/>
    <x v="1"/>
    <s v="N/A"/>
  </r>
  <r>
    <x v="457"/>
    <x v="7"/>
    <x v="0"/>
    <s v="johnsmith@gmail.com"/>
    <x v="2"/>
    <x v="2"/>
    <x v="1"/>
    <n v="79.989999999999995"/>
    <x v="2"/>
    <x v="3"/>
    <x v="0"/>
    <x v="0"/>
    <s v="N/A"/>
  </r>
  <r>
    <x v="458"/>
    <x v="242"/>
    <x v="3"/>
    <s v="alexkim@email.com"/>
    <x v="7"/>
    <x v="5"/>
    <x v="0"/>
    <n v="49.99"/>
    <x v="20"/>
    <x v="2"/>
    <x v="2"/>
    <x v="0"/>
    <s v="check"/>
  </r>
  <r>
    <x v="459"/>
    <x v="7"/>
    <x v="4"/>
    <s v="mikebrown@gmail.com"/>
    <x v="1"/>
    <x v="1"/>
    <x v="2"/>
    <n v="99.99"/>
    <x v="27"/>
    <x v="2"/>
    <x v="3"/>
    <x v="0"/>
    <s v="N/A"/>
  </r>
  <r>
    <x v="460"/>
    <x v="2"/>
    <x v="4"/>
    <s v="mikebrown@gmail.com"/>
    <x v="4"/>
    <x v="1"/>
    <x v="4"/>
    <n v="14.99"/>
    <x v="6"/>
    <x v="2"/>
    <x v="3"/>
    <x v="0"/>
    <s v="N/A"/>
  </r>
  <r>
    <x v="461"/>
    <x v="243"/>
    <x v="3"/>
    <s v="alexkim@yahoo.com"/>
    <x v="8"/>
    <x v="5"/>
    <x v="4"/>
    <n v="29.99"/>
    <x v="37"/>
    <x v="2"/>
    <x v="2"/>
    <x v="0"/>
    <s v="N/A"/>
  </r>
  <r>
    <x v="462"/>
    <x v="244"/>
    <x v="3"/>
    <s v="alexkim@yahoo.com"/>
    <x v="4"/>
    <x v="1"/>
    <x v="2"/>
    <n v="14.99"/>
    <x v="33"/>
    <x v="3"/>
    <x v="4"/>
    <x v="0"/>
    <s v="N/A"/>
  </r>
  <r>
    <x v="463"/>
    <x v="155"/>
    <x v="4"/>
    <s v="mikebrown@yahoo.com"/>
    <x v="7"/>
    <x v="5"/>
    <x v="1"/>
    <n v="49.99"/>
    <x v="2"/>
    <x v="2"/>
    <x v="4"/>
    <x v="0"/>
    <s v="check"/>
  </r>
  <r>
    <x v="464"/>
    <x v="141"/>
    <x v="6"/>
    <s v="N/A"/>
    <x v="8"/>
    <x v="5"/>
    <x v="5"/>
    <n v="29.99"/>
    <x v="26"/>
    <x v="3"/>
    <x v="0"/>
    <x v="0"/>
    <s v="N/A"/>
  </r>
  <r>
    <x v="465"/>
    <x v="7"/>
    <x v="5"/>
    <s v="emilychen@yahoo.com"/>
    <x v="6"/>
    <x v="4"/>
    <x v="2"/>
    <n v="4.99"/>
    <x v="41"/>
    <x v="3"/>
    <x v="4"/>
    <x v="1"/>
    <s v="N/A"/>
  </r>
  <r>
    <x v="466"/>
    <x v="7"/>
    <x v="2"/>
    <s v="janedoe@email.com"/>
    <x v="7"/>
    <x v="5"/>
    <x v="1"/>
    <n v="49.99"/>
    <x v="2"/>
    <x v="0"/>
    <x v="3"/>
    <x v="0"/>
    <s v="N/A"/>
  </r>
  <r>
    <x v="467"/>
    <x v="7"/>
    <x v="0"/>
    <s v="johnsmith@email.com"/>
    <x v="5"/>
    <x v="3"/>
    <x v="3"/>
    <n v="59.99"/>
    <x v="5"/>
    <x v="2"/>
    <x v="0"/>
    <x v="2"/>
    <s v="check"/>
  </r>
  <r>
    <x v="468"/>
    <x v="231"/>
    <x v="2"/>
    <s v="janedoe@yahoo.com"/>
    <x v="8"/>
    <x v="5"/>
    <x v="1"/>
    <n v="29.99"/>
    <x v="2"/>
    <x v="2"/>
    <x v="2"/>
    <x v="0"/>
    <s v="N/A"/>
  </r>
  <r>
    <x v="469"/>
    <x v="245"/>
    <x v="1"/>
    <s v="chrislee@gmail.com"/>
    <x v="4"/>
    <x v="1"/>
    <x v="1"/>
    <n v="14.99"/>
    <x v="2"/>
    <x v="0"/>
    <x v="0"/>
    <x v="1"/>
    <s v="N/A"/>
  </r>
  <r>
    <x v="470"/>
    <x v="218"/>
    <x v="0"/>
    <s v="johnsmith@gmail.com"/>
    <x v="1"/>
    <x v="1"/>
    <x v="1"/>
    <n v="99.99"/>
    <x v="2"/>
    <x v="3"/>
    <x v="0"/>
    <x v="2"/>
    <s v="N/A"/>
  </r>
  <r>
    <x v="471"/>
    <x v="246"/>
    <x v="1"/>
    <s v="chrislee@yahoo.com"/>
    <x v="5"/>
    <x v="3"/>
    <x v="1"/>
    <n v="59.99"/>
    <x v="2"/>
    <x v="0"/>
    <x v="2"/>
    <x v="0"/>
    <s v="N/A"/>
  </r>
  <r>
    <x v="472"/>
    <x v="247"/>
    <x v="1"/>
    <s v="chrislee@email.com"/>
    <x v="1"/>
    <x v="1"/>
    <x v="3"/>
    <n v="99.99"/>
    <x v="12"/>
    <x v="2"/>
    <x v="3"/>
    <x v="1"/>
    <s v="N/A"/>
  </r>
  <r>
    <x v="473"/>
    <x v="248"/>
    <x v="6"/>
    <s v="sarahjohnson@yahoo.com"/>
    <x v="0"/>
    <x v="0"/>
    <x v="1"/>
    <n v="15.99"/>
    <x v="2"/>
    <x v="2"/>
    <x v="0"/>
    <x v="0"/>
    <s v="N/A"/>
  </r>
  <r>
    <x v="474"/>
    <x v="7"/>
    <x v="3"/>
    <s v="alexkim@gmail.com"/>
    <x v="6"/>
    <x v="4"/>
    <x v="4"/>
    <n v="4.99"/>
    <x v="36"/>
    <x v="2"/>
    <x v="2"/>
    <x v="2"/>
    <s v="N/A"/>
  </r>
  <r>
    <x v="475"/>
    <x v="249"/>
    <x v="0"/>
    <s v="N/A"/>
    <x v="2"/>
    <x v="2"/>
    <x v="0"/>
    <n v="79.989999999999995"/>
    <x v="7"/>
    <x v="3"/>
    <x v="0"/>
    <x v="0"/>
    <s v="N/A"/>
  </r>
  <r>
    <x v="476"/>
    <x v="250"/>
    <x v="1"/>
    <s v="chrislee@email.com"/>
    <x v="6"/>
    <x v="4"/>
    <x v="4"/>
    <n v="4.99"/>
    <x v="36"/>
    <x v="0"/>
    <x v="4"/>
    <x v="2"/>
    <s v="N/A"/>
  </r>
  <r>
    <x v="477"/>
    <x v="251"/>
    <x v="1"/>
    <s v="chrislee@email.com"/>
    <x v="5"/>
    <x v="3"/>
    <x v="5"/>
    <n v="59.99"/>
    <x v="38"/>
    <x v="2"/>
    <x v="0"/>
    <x v="0"/>
    <s v="N/A"/>
  </r>
  <r>
    <x v="478"/>
    <x v="252"/>
    <x v="6"/>
    <s v="sarahjohnson@gmail.com"/>
    <x v="2"/>
    <x v="2"/>
    <x v="2"/>
    <n v="79.989999999999995"/>
    <x v="39"/>
    <x v="1"/>
    <x v="3"/>
    <x v="0"/>
    <s v="N/A"/>
  </r>
  <r>
    <x v="479"/>
    <x v="35"/>
    <x v="1"/>
    <s v="chrislee@yahoo.com"/>
    <x v="8"/>
    <x v="5"/>
    <x v="1"/>
    <n v="29.99"/>
    <x v="2"/>
    <x v="2"/>
    <x v="2"/>
    <x v="0"/>
    <s v="N/A"/>
  </r>
  <r>
    <x v="480"/>
    <x v="7"/>
    <x v="0"/>
    <s v="johnsmith@gmail.com"/>
    <x v="6"/>
    <x v="4"/>
    <x v="1"/>
    <n v="4.99"/>
    <x v="2"/>
    <x v="0"/>
    <x v="0"/>
    <x v="0"/>
    <s v="N/A"/>
  </r>
  <r>
    <x v="481"/>
    <x v="102"/>
    <x v="3"/>
    <s v="alexkim@gmail.com"/>
    <x v="7"/>
    <x v="5"/>
    <x v="4"/>
    <n v="49.99"/>
    <x v="13"/>
    <x v="0"/>
    <x v="0"/>
    <x v="0"/>
    <s v="N/A"/>
  </r>
  <r>
    <x v="482"/>
    <x v="50"/>
    <x v="1"/>
    <s v="chrislee@yahoo.com"/>
    <x v="1"/>
    <x v="1"/>
    <x v="2"/>
    <n v="99.99"/>
    <x v="27"/>
    <x v="3"/>
    <x v="0"/>
    <x v="0"/>
    <s v="N/A"/>
  </r>
  <r>
    <x v="483"/>
    <x v="7"/>
    <x v="0"/>
    <s v="johnsmith@email.com"/>
    <x v="3"/>
    <x v="0"/>
    <x v="3"/>
    <n v="39.99"/>
    <x v="44"/>
    <x v="1"/>
    <x v="0"/>
    <x v="0"/>
    <s v="N/A"/>
  </r>
  <r>
    <x v="484"/>
    <x v="7"/>
    <x v="5"/>
    <s v="emilychen@email.com"/>
    <x v="8"/>
    <x v="5"/>
    <x v="0"/>
    <n v="29.99"/>
    <x v="16"/>
    <x v="0"/>
    <x v="4"/>
    <x v="2"/>
    <s v="N/A"/>
  </r>
  <r>
    <x v="485"/>
    <x v="253"/>
    <x v="6"/>
    <s v="sarahjohnson@yahoo.com"/>
    <x v="2"/>
    <x v="2"/>
    <x v="5"/>
    <n v="79.989999999999995"/>
    <x v="23"/>
    <x v="2"/>
    <x v="0"/>
    <x v="0"/>
    <s v="N/A"/>
  </r>
  <r>
    <x v="486"/>
    <x v="125"/>
    <x v="7"/>
    <s v="sarahjohnson@gmail.com"/>
    <x v="5"/>
    <x v="3"/>
    <x v="4"/>
    <n v="59.99"/>
    <x v="24"/>
    <x v="3"/>
    <x v="0"/>
    <x v="2"/>
    <s v="N/A"/>
  </r>
  <r>
    <x v="487"/>
    <x v="254"/>
    <x v="3"/>
    <s v="alexkim@gmail.com"/>
    <x v="5"/>
    <x v="3"/>
    <x v="4"/>
    <n v="59.99"/>
    <x v="24"/>
    <x v="2"/>
    <x v="0"/>
    <x v="0"/>
    <s v="N/A"/>
  </r>
  <r>
    <x v="488"/>
    <x v="255"/>
    <x v="7"/>
    <s v="emilychen@email.com"/>
    <x v="6"/>
    <x v="4"/>
    <x v="4"/>
    <n v="4.99"/>
    <x v="36"/>
    <x v="2"/>
    <x v="4"/>
    <x v="0"/>
    <s v="N/A"/>
  </r>
  <r>
    <x v="489"/>
    <x v="256"/>
    <x v="0"/>
    <s v="johnsmith@email.com"/>
    <x v="3"/>
    <x v="0"/>
    <x v="2"/>
    <n v="39.99"/>
    <x v="3"/>
    <x v="2"/>
    <x v="0"/>
    <x v="1"/>
    <s v="N/A"/>
  </r>
  <r>
    <x v="490"/>
    <x v="7"/>
    <x v="5"/>
    <s v="emilychen@gmail.com"/>
    <x v="0"/>
    <x v="0"/>
    <x v="4"/>
    <n v="15.99"/>
    <x v="9"/>
    <x v="3"/>
    <x v="4"/>
    <x v="0"/>
    <s v="N/A"/>
  </r>
  <r>
    <x v="491"/>
    <x v="57"/>
    <x v="6"/>
    <s v="sarahjohnson@gmail.com"/>
    <x v="1"/>
    <x v="1"/>
    <x v="4"/>
    <n v="99.99"/>
    <x v="22"/>
    <x v="2"/>
    <x v="0"/>
    <x v="2"/>
    <s v="N/A"/>
  </r>
  <r>
    <x v="492"/>
    <x v="7"/>
    <x v="7"/>
    <s v="janedoe@yahoo.com"/>
    <x v="7"/>
    <x v="5"/>
    <x v="1"/>
    <n v="49.99"/>
    <x v="2"/>
    <x v="3"/>
    <x v="1"/>
    <x v="0"/>
    <s v="check"/>
  </r>
  <r>
    <x v="493"/>
    <x v="0"/>
    <x v="4"/>
    <s v="mikebrown@yahoo.com"/>
    <x v="5"/>
    <x v="3"/>
    <x v="1"/>
    <n v="59.99"/>
    <x v="2"/>
    <x v="2"/>
    <x v="2"/>
    <x v="0"/>
    <s v="N/A"/>
  </r>
  <r>
    <x v="494"/>
    <x v="245"/>
    <x v="6"/>
    <s v="sarahjohnson@yahoo.com"/>
    <x v="2"/>
    <x v="2"/>
    <x v="5"/>
    <n v="79.989999999999995"/>
    <x v="23"/>
    <x v="0"/>
    <x v="0"/>
    <x v="0"/>
    <s v="N/A"/>
  </r>
  <r>
    <x v="495"/>
    <x v="119"/>
    <x v="0"/>
    <s v="N/A"/>
    <x v="2"/>
    <x v="2"/>
    <x v="2"/>
    <n v="79.989999999999995"/>
    <x v="39"/>
    <x v="0"/>
    <x v="1"/>
    <x v="0"/>
    <s v="N/A"/>
  </r>
  <r>
    <x v="496"/>
    <x v="257"/>
    <x v="2"/>
    <s v="janedoe@yahoo.com"/>
    <x v="1"/>
    <x v="1"/>
    <x v="1"/>
    <n v="99.99"/>
    <x v="2"/>
    <x v="3"/>
    <x v="3"/>
    <x v="0"/>
    <s v="N/A"/>
  </r>
  <r>
    <x v="497"/>
    <x v="7"/>
    <x v="2"/>
    <s v="janedoe@yahoo.com"/>
    <x v="2"/>
    <x v="2"/>
    <x v="3"/>
    <n v="79.989999999999995"/>
    <x v="29"/>
    <x v="2"/>
    <x v="0"/>
    <x v="1"/>
    <s v="N/A"/>
  </r>
  <r>
    <x v="498"/>
    <x v="178"/>
    <x v="4"/>
    <s v="mikebrown@yahoo.com"/>
    <x v="1"/>
    <x v="1"/>
    <x v="5"/>
    <n v="99.99"/>
    <x v="18"/>
    <x v="2"/>
    <x v="0"/>
    <x v="0"/>
    <s v="N/A"/>
  </r>
  <r>
    <x v="499"/>
    <x v="7"/>
    <x v="0"/>
    <s v="johnsmith@email.com"/>
    <x v="3"/>
    <x v="0"/>
    <x v="4"/>
    <n v="39.99"/>
    <x v="14"/>
    <x v="2"/>
    <x v="4"/>
    <x v="0"/>
    <s v="N/A"/>
  </r>
  <r>
    <x v="500"/>
    <x v="249"/>
    <x v="2"/>
    <s v="janedoe@gmail.com"/>
    <x v="8"/>
    <x v="5"/>
    <x v="2"/>
    <n v="29.99"/>
    <x v="31"/>
    <x v="2"/>
    <x v="4"/>
    <x v="0"/>
    <s v="N/A"/>
  </r>
  <r>
    <x v="501"/>
    <x v="258"/>
    <x v="5"/>
    <s v="emilychen@yahoo.com"/>
    <x v="4"/>
    <x v="1"/>
    <x v="4"/>
    <n v="14.99"/>
    <x v="6"/>
    <x v="3"/>
    <x v="0"/>
    <x v="0"/>
    <s v="N/A"/>
  </r>
  <r>
    <x v="502"/>
    <x v="259"/>
    <x v="3"/>
    <s v="alexkim@yahoo.com"/>
    <x v="4"/>
    <x v="1"/>
    <x v="1"/>
    <n v="14.99"/>
    <x v="2"/>
    <x v="2"/>
    <x v="2"/>
    <x v="2"/>
    <s v="N/A"/>
  </r>
  <r>
    <x v="503"/>
    <x v="63"/>
    <x v="3"/>
    <s v="alexkim@yahoo.com"/>
    <x v="4"/>
    <x v="1"/>
    <x v="1"/>
    <n v="14.99"/>
    <x v="2"/>
    <x v="0"/>
    <x v="1"/>
    <x v="0"/>
    <s v="N/A"/>
  </r>
  <r>
    <x v="504"/>
    <x v="260"/>
    <x v="5"/>
    <s v="emilychen@email.com"/>
    <x v="5"/>
    <x v="3"/>
    <x v="1"/>
    <n v="59.99"/>
    <x v="2"/>
    <x v="2"/>
    <x v="2"/>
    <x v="2"/>
    <s v="N/A"/>
  </r>
  <r>
    <x v="505"/>
    <x v="148"/>
    <x v="0"/>
    <s v="johnsmith@gmail.com"/>
    <x v="3"/>
    <x v="0"/>
    <x v="5"/>
    <n v="39.99"/>
    <x v="34"/>
    <x v="0"/>
    <x v="0"/>
    <x v="1"/>
    <s v="N/A"/>
  </r>
  <r>
    <x v="506"/>
    <x v="78"/>
    <x v="4"/>
    <s v="mikebrown@gmail.com"/>
    <x v="2"/>
    <x v="2"/>
    <x v="0"/>
    <n v="79.989999999999995"/>
    <x v="7"/>
    <x v="2"/>
    <x v="3"/>
    <x v="0"/>
    <s v="N/A"/>
  </r>
  <r>
    <x v="507"/>
    <x v="261"/>
    <x v="1"/>
    <s v="chrislee@gmail.com"/>
    <x v="5"/>
    <x v="3"/>
    <x v="1"/>
    <n v="59.99"/>
    <x v="2"/>
    <x v="0"/>
    <x v="2"/>
    <x v="0"/>
    <s v="N/A"/>
  </r>
  <r>
    <x v="508"/>
    <x v="262"/>
    <x v="2"/>
    <s v="N/A"/>
    <x v="4"/>
    <x v="1"/>
    <x v="1"/>
    <n v="14.99"/>
    <x v="2"/>
    <x v="2"/>
    <x v="3"/>
    <x v="0"/>
    <s v="N/A"/>
  </r>
  <r>
    <x v="509"/>
    <x v="263"/>
    <x v="0"/>
    <s v="johnsmith@email.com"/>
    <x v="0"/>
    <x v="0"/>
    <x v="4"/>
    <n v="15.99"/>
    <x v="9"/>
    <x v="2"/>
    <x v="4"/>
    <x v="0"/>
    <s v="N/A"/>
  </r>
  <r>
    <x v="510"/>
    <x v="7"/>
    <x v="6"/>
    <s v="sarahjohnson@gmail.com"/>
    <x v="7"/>
    <x v="5"/>
    <x v="5"/>
    <n v="49.99"/>
    <x v="32"/>
    <x v="2"/>
    <x v="2"/>
    <x v="0"/>
    <s v="N/A"/>
  </r>
  <r>
    <x v="511"/>
    <x v="264"/>
    <x v="4"/>
    <s v="mikebrown@yahoo.com"/>
    <x v="7"/>
    <x v="5"/>
    <x v="1"/>
    <n v="49.99"/>
    <x v="2"/>
    <x v="2"/>
    <x v="0"/>
    <x v="2"/>
    <s v="N/A"/>
  </r>
  <r>
    <x v="512"/>
    <x v="131"/>
    <x v="5"/>
    <s v="emilychen@email.com"/>
    <x v="6"/>
    <x v="4"/>
    <x v="2"/>
    <n v="4.99"/>
    <x v="41"/>
    <x v="3"/>
    <x v="3"/>
    <x v="2"/>
    <s v="N/A"/>
  </r>
  <r>
    <x v="513"/>
    <x v="7"/>
    <x v="1"/>
    <s v="chrislee@yahoo.com"/>
    <x v="5"/>
    <x v="3"/>
    <x v="1"/>
    <n v="59.99"/>
    <x v="2"/>
    <x v="2"/>
    <x v="0"/>
    <x v="0"/>
    <s v="N/A"/>
  </r>
  <r>
    <x v="514"/>
    <x v="260"/>
    <x v="3"/>
    <s v="alexkim@email.com"/>
    <x v="7"/>
    <x v="5"/>
    <x v="5"/>
    <n v="49.99"/>
    <x v="32"/>
    <x v="2"/>
    <x v="0"/>
    <x v="0"/>
    <s v="N/A"/>
  </r>
  <r>
    <x v="515"/>
    <x v="265"/>
    <x v="4"/>
    <s v="mikebrown@yahoo.com"/>
    <x v="0"/>
    <x v="0"/>
    <x v="0"/>
    <n v="15.99"/>
    <x v="0"/>
    <x v="2"/>
    <x v="2"/>
    <x v="0"/>
    <s v="check"/>
  </r>
  <r>
    <x v="516"/>
    <x v="91"/>
    <x v="0"/>
    <s v="johnsmith@gmail.com"/>
    <x v="1"/>
    <x v="1"/>
    <x v="1"/>
    <n v="99.99"/>
    <x v="2"/>
    <x v="2"/>
    <x v="0"/>
    <x v="0"/>
    <s v="N/A"/>
  </r>
  <r>
    <x v="517"/>
    <x v="266"/>
    <x v="0"/>
    <s v="johnsmith@gmail.com"/>
    <x v="2"/>
    <x v="2"/>
    <x v="5"/>
    <n v="79.989999999999995"/>
    <x v="23"/>
    <x v="2"/>
    <x v="2"/>
    <x v="0"/>
    <s v="N/A"/>
  </r>
  <r>
    <x v="518"/>
    <x v="267"/>
    <x v="2"/>
    <s v="janedoe@yahoo.com"/>
    <x v="5"/>
    <x v="3"/>
    <x v="4"/>
    <n v="59.99"/>
    <x v="24"/>
    <x v="3"/>
    <x v="0"/>
    <x v="0"/>
    <s v="N/A"/>
  </r>
  <r>
    <x v="519"/>
    <x v="268"/>
    <x v="5"/>
    <s v="emilychen@yahoo.com"/>
    <x v="0"/>
    <x v="0"/>
    <x v="5"/>
    <n v="15.99"/>
    <x v="40"/>
    <x v="1"/>
    <x v="2"/>
    <x v="0"/>
    <s v="N/A"/>
  </r>
  <r>
    <x v="520"/>
    <x v="269"/>
    <x v="3"/>
    <s v="N/A"/>
    <x v="0"/>
    <x v="0"/>
    <x v="2"/>
    <n v="15.99"/>
    <x v="42"/>
    <x v="2"/>
    <x v="2"/>
    <x v="0"/>
    <s v="N/A"/>
  </r>
  <r>
    <x v="521"/>
    <x v="270"/>
    <x v="5"/>
    <s v="emilychen@email.com"/>
    <x v="4"/>
    <x v="1"/>
    <x v="4"/>
    <n v="14.99"/>
    <x v="6"/>
    <x v="2"/>
    <x v="0"/>
    <x v="1"/>
    <s v="N/A"/>
  </r>
  <r>
    <x v="522"/>
    <x v="7"/>
    <x v="1"/>
    <s v="chrislee@gmail.com"/>
    <x v="8"/>
    <x v="5"/>
    <x v="2"/>
    <n v="29.99"/>
    <x v="31"/>
    <x v="0"/>
    <x v="0"/>
    <x v="1"/>
    <s v="N/A"/>
  </r>
  <r>
    <x v="523"/>
    <x v="7"/>
    <x v="3"/>
    <s v="alexkim@email.com"/>
    <x v="4"/>
    <x v="1"/>
    <x v="0"/>
    <n v="14.99"/>
    <x v="25"/>
    <x v="0"/>
    <x v="1"/>
    <x v="0"/>
    <s v="N/A"/>
  </r>
  <r>
    <x v="524"/>
    <x v="271"/>
    <x v="1"/>
    <s v="chrislee@yahoo.com"/>
    <x v="5"/>
    <x v="3"/>
    <x v="1"/>
    <n v="59.99"/>
    <x v="2"/>
    <x v="1"/>
    <x v="4"/>
    <x v="0"/>
    <s v="N/A"/>
  </r>
  <r>
    <x v="525"/>
    <x v="7"/>
    <x v="2"/>
    <s v="janedoe@email.com"/>
    <x v="4"/>
    <x v="1"/>
    <x v="4"/>
    <n v="14.99"/>
    <x v="6"/>
    <x v="0"/>
    <x v="3"/>
    <x v="0"/>
    <s v="N/A"/>
  </r>
  <r>
    <x v="526"/>
    <x v="7"/>
    <x v="6"/>
    <s v="sarahjohnson@gmail.com"/>
    <x v="1"/>
    <x v="1"/>
    <x v="4"/>
    <n v="99.99"/>
    <x v="22"/>
    <x v="1"/>
    <x v="0"/>
    <x v="2"/>
    <s v="N/A"/>
  </r>
  <r>
    <x v="527"/>
    <x v="272"/>
    <x v="1"/>
    <s v="chrislee@email.com"/>
    <x v="6"/>
    <x v="4"/>
    <x v="4"/>
    <n v="4.99"/>
    <x v="36"/>
    <x v="1"/>
    <x v="0"/>
    <x v="0"/>
    <s v="N/A"/>
  </r>
  <r>
    <x v="528"/>
    <x v="96"/>
    <x v="5"/>
    <s v="emilychen@yahoo.com"/>
    <x v="8"/>
    <x v="5"/>
    <x v="5"/>
    <n v="29.99"/>
    <x v="26"/>
    <x v="2"/>
    <x v="0"/>
    <x v="1"/>
    <s v="N/A"/>
  </r>
  <r>
    <x v="529"/>
    <x v="273"/>
    <x v="4"/>
    <s v="mikebrown@gmail.com"/>
    <x v="6"/>
    <x v="4"/>
    <x v="5"/>
    <n v="4.99"/>
    <x v="11"/>
    <x v="2"/>
    <x v="2"/>
    <x v="1"/>
    <s v="N/A"/>
  </r>
  <r>
    <x v="530"/>
    <x v="7"/>
    <x v="2"/>
    <s v="janedoe@email.com"/>
    <x v="6"/>
    <x v="4"/>
    <x v="1"/>
    <n v="4.99"/>
    <x v="2"/>
    <x v="2"/>
    <x v="0"/>
    <x v="0"/>
    <s v="N/A"/>
  </r>
  <r>
    <x v="531"/>
    <x v="7"/>
    <x v="1"/>
    <s v="chrislee@email.com"/>
    <x v="8"/>
    <x v="5"/>
    <x v="1"/>
    <n v="29.99"/>
    <x v="2"/>
    <x v="3"/>
    <x v="0"/>
    <x v="0"/>
    <s v="N/A"/>
  </r>
  <r>
    <x v="532"/>
    <x v="189"/>
    <x v="5"/>
    <s v="emilychen@gmail.com"/>
    <x v="7"/>
    <x v="5"/>
    <x v="5"/>
    <n v="49.99"/>
    <x v="32"/>
    <x v="2"/>
    <x v="0"/>
    <x v="1"/>
    <s v="N/A"/>
  </r>
  <r>
    <x v="533"/>
    <x v="274"/>
    <x v="5"/>
    <s v="emilychen@email.com"/>
    <x v="1"/>
    <x v="1"/>
    <x v="4"/>
    <n v="99.99"/>
    <x v="22"/>
    <x v="2"/>
    <x v="1"/>
    <x v="0"/>
    <s v="check"/>
  </r>
  <r>
    <x v="534"/>
    <x v="47"/>
    <x v="3"/>
    <s v="alexkim@email.com"/>
    <x v="3"/>
    <x v="0"/>
    <x v="1"/>
    <n v="39.99"/>
    <x v="2"/>
    <x v="1"/>
    <x v="0"/>
    <x v="0"/>
    <s v="N/A"/>
  </r>
  <r>
    <x v="535"/>
    <x v="275"/>
    <x v="7"/>
    <s v="sarahjohnson@yahoo.com"/>
    <x v="8"/>
    <x v="5"/>
    <x v="0"/>
    <n v="29.99"/>
    <x v="16"/>
    <x v="2"/>
    <x v="4"/>
    <x v="0"/>
    <s v="N/A"/>
  </r>
  <r>
    <x v="536"/>
    <x v="7"/>
    <x v="7"/>
    <s v="johnsmith@yahoo.com"/>
    <x v="0"/>
    <x v="0"/>
    <x v="1"/>
    <n v="15.99"/>
    <x v="2"/>
    <x v="0"/>
    <x v="2"/>
    <x v="2"/>
    <s v="N/A"/>
  </r>
  <r>
    <x v="537"/>
    <x v="77"/>
    <x v="6"/>
    <s v="sarahjohnson@gmail.com"/>
    <x v="6"/>
    <x v="4"/>
    <x v="5"/>
    <n v="4.99"/>
    <x v="11"/>
    <x v="2"/>
    <x v="1"/>
    <x v="0"/>
    <s v="N/A"/>
  </r>
  <r>
    <x v="538"/>
    <x v="276"/>
    <x v="4"/>
    <s v="mikebrown@gmail.com"/>
    <x v="7"/>
    <x v="5"/>
    <x v="0"/>
    <n v="49.99"/>
    <x v="20"/>
    <x v="2"/>
    <x v="2"/>
    <x v="0"/>
    <s v="N/A"/>
  </r>
  <r>
    <x v="539"/>
    <x v="277"/>
    <x v="3"/>
    <s v="alexkim@gmail.com"/>
    <x v="6"/>
    <x v="4"/>
    <x v="1"/>
    <n v="4.99"/>
    <x v="2"/>
    <x v="1"/>
    <x v="3"/>
    <x v="1"/>
    <s v="N/A"/>
  </r>
  <r>
    <x v="540"/>
    <x v="278"/>
    <x v="6"/>
    <s v="sarahjohnson@yahoo.com"/>
    <x v="2"/>
    <x v="2"/>
    <x v="4"/>
    <n v="79.989999999999995"/>
    <x v="19"/>
    <x v="0"/>
    <x v="0"/>
    <x v="0"/>
    <s v="N/A"/>
  </r>
  <r>
    <x v="541"/>
    <x v="78"/>
    <x v="0"/>
    <s v="johnsmith@email.com"/>
    <x v="6"/>
    <x v="4"/>
    <x v="0"/>
    <n v="4.99"/>
    <x v="35"/>
    <x v="3"/>
    <x v="2"/>
    <x v="0"/>
    <s v="N/A"/>
  </r>
  <r>
    <x v="542"/>
    <x v="35"/>
    <x v="7"/>
    <s v="mikebrown@gmail.com"/>
    <x v="4"/>
    <x v="1"/>
    <x v="1"/>
    <n v="14.99"/>
    <x v="2"/>
    <x v="0"/>
    <x v="2"/>
    <x v="0"/>
    <s v="N/A"/>
  </r>
  <r>
    <x v="543"/>
    <x v="7"/>
    <x v="0"/>
    <s v="johnsmith@gmail.com"/>
    <x v="1"/>
    <x v="1"/>
    <x v="4"/>
    <n v="99.99"/>
    <x v="22"/>
    <x v="2"/>
    <x v="3"/>
    <x v="0"/>
    <s v="N/A"/>
  </r>
  <r>
    <x v="544"/>
    <x v="182"/>
    <x v="3"/>
    <s v="alexkim@email.com"/>
    <x v="4"/>
    <x v="1"/>
    <x v="4"/>
    <n v="14.99"/>
    <x v="6"/>
    <x v="2"/>
    <x v="2"/>
    <x v="0"/>
    <s v="N/A"/>
  </r>
  <r>
    <x v="545"/>
    <x v="7"/>
    <x v="4"/>
    <s v="mikebrown@email.com"/>
    <x v="1"/>
    <x v="1"/>
    <x v="0"/>
    <n v="99.99"/>
    <x v="1"/>
    <x v="3"/>
    <x v="4"/>
    <x v="1"/>
    <s v="N/A"/>
  </r>
  <r>
    <x v="546"/>
    <x v="279"/>
    <x v="2"/>
    <s v="janedoe@yahoo.com"/>
    <x v="3"/>
    <x v="0"/>
    <x v="1"/>
    <n v="39.99"/>
    <x v="2"/>
    <x v="1"/>
    <x v="1"/>
    <x v="1"/>
    <s v="check"/>
  </r>
  <r>
    <x v="547"/>
    <x v="7"/>
    <x v="2"/>
    <s v="janedoe@yahoo.com"/>
    <x v="7"/>
    <x v="5"/>
    <x v="3"/>
    <n v="49.99"/>
    <x v="8"/>
    <x v="2"/>
    <x v="1"/>
    <x v="0"/>
    <s v="N/A"/>
  </r>
  <r>
    <x v="548"/>
    <x v="7"/>
    <x v="2"/>
    <s v="janedoe@email.com"/>
    <x v="4"/>
    <x v="1"/>
    <x v="2"/>
    <n v="14.99"/>
    <x v="33"/>
    <x v="2"/>
    <x v="2"/>
    <x v="0"/>
    <s v="N/A"/>
  </r>
  <r>
    <x v="549"/>
    <x v="280"/>
    <x v="1"/>
    <s v="chrislee@yahoo.com"/>
    <x v="4"/>
    <x v="1"/>
    <x v="1"/>
    <n v="14.99"/>
    <x v="2"/>
    <x v="2"/>
    <x v="3"/>
    <x v="0"/>
    <s v="N/A"/>
  </r>
  <r>
    <x v="550"/>
    <x v="30"/>
    <x v="6"/>
    <s v="sarahjohnson@gmail.com"/>
    <x v="2"/>
    <x v="2"/>
    <x v="3"/>
    <n v="79.989999999999995"/>
    <x v="29"/>
    <x v="2"/>
    <x v="2"/>
    <x v="0"/>
    <s v="N/A"/>
  </r>
  <r>
    <x v="551"/>
    <x v="211"/>
    <x v="0"/>
    <s v="N/A"/>
    <x v="4"/>
    <x v="1"/>
    <x v="4"/>
    <n v="14.99"/>
    <x v="6"/>
    <x v="2"/>
    <x v="2"/>
    <x v="0"/>
    <s v="N/A"/>
  </r>
  <r>
    <x v="552"/>
    <x v="281"/>
    <x v="3"/>
    <s v="alexkim@email.com"/>
    <x v="6"/>
    <x v="4"/>
    <x v="2"/>
    <n v="4.99"/>
    <x v="41"/>
    <x v="2"/>
    <x v="3"/>
    <x v="1"/>
    <s v="N/A"/>
  </r>
  <r>
    <x v="553"/>
    <x v="159"/>
    <x v="2"/>
    <s v="janedoe@email.com"/>
    <x v="5"/>
    <x v="3"/>
    <x v="4"/>
    <n v="59.99"/>
    <x v="24"/>
    <x v="3"/>
    <x v="3"/>
    <x v="0"/>
    <s v="N/A"/>
  </r>
  <r>
    <x v="554"/>
    <x v="7"/>
    <x v="3"/>
    <s v="alexkim@email.com"/>
    <x v="2"/>
    <x v="2"/>
    <x v="1"/>
    <n v="79.989999999999995"/>
    <x v="2"/>
    <x v="2"/>
    <x v="0"/>
    <x v="0"/>
    <s v="N/A"/>
  </r>
  <r>
    <x v="555"/>
    <x v="40"/>
    <x v="7"/>
    <s v="sarahjohnson@email.com"/>
    <x v="6"/>
    <x v="4"/>
    <x v="3"/>
    <n v="4.99"/>
    <x v="21"/>
    <x v="2"/>
    <x v="2"/>
    <x v="1"/>
    <s v="N/A"/>
  </r>
  <r>
    <x v="556"/>
    <x v="282"/>
    <x v="4"/>
    <s v="mikebrown@yahoo.com"/>
    <x v="1"/>
    <x v="1"/>
    <x v="1"/>
    <n v="99.99"/>
    <x v="2"/>
    <x v="2"/>
    <x v="1"/>
    <x v="0"/>
    <s v="N/A"/>
  </r>
  <r>
    <x v="557"/>
    <x v="51"/>
    <x v="6"/>
    <s v="sarahjohnson@email.com"/>
    <x v="1"/>
    <x v="1"/>
    <x v="5"/>
    <n v="99.99"/>
    <x v="18"/>
    <x v="3"/>
    <x v="0"/>
    <x v="2"/>
    <s v="N/A"/>
  </r>
  <r>
    <x v="558"/>
    <x v="283"/>
    <x v="7"/>
    <s v="mikebrown@gmail.com"/>
    <x v="6"/>
    <x v="4"/>
    <x v="1"/>
    <n v="4.99"/>
    <x v="2"/>
    <x v="2"/>
    <x v="1"/>
    <x v="1"/>
    <s v="N/A"/>
  </r>
  <r>
    <x v="559"/>
    <x v="7"/>
    <x v="3"/>
    <s v="alexkim@yahoo.com"/>
    <x v="5"/>
    <x v="3"/>
    <x v="5"/>
    <n v="59.99"/>
    <x v="38"/>
    <x v="3"/>
    <x v="0"/>
    <x v="0"/>
    <s v="N/A"/>
  </r>
  <r>
    <x v="560"/>
    <x v="7"/>
    <x v="2"/>
    <s v="janedoe@yahoo.com"/>
    <x v="7"/>
    <x v="5"/>
    <x v="4"/>
    <n v="49.99"/>
    <x v="13"/>
    <x v="2"/>
    <x v="2"/>
    <x v="0"/>
    <s v="N/A"/>
  </r>
  <r>
    <x v="561"/>
    <x v="176"/>
    <x v="3"/>
    <s v="alexkim@gmail.com"/>
    <x v="5"/>
    <x v="3"/>
    <x v="0"/>
    <n v="59.99"/>
    <x v="30"/>
    <x v="2"/>
    <x v="1"/>
    <x v="1"/>
    <s v="N/A"/>
  </r>
  <r>
    <x v="562"/>
    <x v="284"/>
    <x v="3"/>
    <s v="alexkim@email.com"/>
    <x v="1"/>
    <x v="1"/>
    <x v="5"/>
    <n v="99.99"/>
    <x v="18"/>
    <x v="1"/>
    <x v="3"/>
    <x v="2"/>
    <s v="N/A"/>
  </r>
  <r>
    <x v="563"/>
    <x v="264"/>
    <x v="6"/>
    <s v="sarahjohnson@email.com"/>
    <x v="2"/>
    <x v="2"/>
    <x v="4"/>
    <n v="79.989999999999995"/>
    <x v="19"/>
    <x v="2"/>
    <x v="2"/>
    <x v="2"/>
    <s v="N/A"/>
  </r>
  <r>
    <x v="564"/>
    <x v="7"/>
    <x v="3"/>
    <s v="alexkim@gmail.com"/>
    <x v="3"/>
    <x v="0"/>
    <x v="2"/>
    <n v="39.99"/>
    <x v="3"/>
    <x v="0"/>
    <x v="0"/>
    <x v="2"/>
    <s v="N/A"/>
  </r>
  <r>
    <x v="565"/>
    <x v="149"/>
    <x v="0"/>
    <s v="johnsmith@email.com"/>
    <x v="8"/>
    <x v="5"/>
    <x v="2"/>
    <n v="29.99"/>
    <x v="31"/>
    <x v="2"/>
    <x v="1"/>
    <x v="0"/>
    <s v="N/A"/>
  </r>
  <r>
    <x v="566"/>
    <x v="17"/>
    <x v="4"/>
    <s v="mikebrown@yahoo.com"/>
    <x v="7"/>
    <x v="5"/>
    <x v="1"/>
    <n v="49.99"/>
    <x v="2"/>
    <x v="2"/>
    <x v="3"/>
    <x v="0"/>
    <s v="N/A"/>
  </r>
  <r>
    <x v="567"/>
    <x v="285"/>
    <x v="4"/>
    <s v="mikebrown@yahoo.com"/>
    <x v="8"/>
    <x v="5"/>
    <x v="4"/>
    <n v="29.99"/>
    <x v="37"/>
    <x v="3"/>
    <x v="2"/>
    <x v="0"/>
    <s v="N/A"/>
  </r>
  <r>
    <x v="568"/>
    <x v="14"/>
    <x v="1"/>
    <s v="chrislee@gmail.com"/>
    <x v="2"/>
    <x v="2"/>
    <x v="4"/>
    <n v="79.989999999999995"/>
    <x v="19"/>
    <x v="2"/>
    <x v="4"/>
    <x v="0"/>
    <s v="N/A"/>
  </r>
  <r>
    <x v="569"/>
    <x v="136"/>
    <x v="6"/>
    <s v="sarahjohnson@gmail.com"/>
    <x v="0"/>
    <x v="0"/>
    <x v="1"/>
    <n v="15.99"/>
    <x v="2"/>
    <x v="0"/>
    <x v="2"/>
    <x v="0"/>
    <s v="N/A"/>
  </r>
  <r>
    <x v="570"/>
    <x v="239"/>
    <x v="2"/>
    <s v="janedoe@email.com"/>
    <x v="7"/>
    <x v="5"/>
    <x v="5"/>
    <n v="49.99"/>
    <x v="32"/>
    <x v="1"/>
    <x v="3"/>
    <x v="2"/>
    <s v="N/A"/>
  </r>
  <r>
    <x v="571"/>
    <x v="286"/>
    <x v="0"/>
    <s v="johnsmith@yahoo.com"/>
    <x v="5"/>
    <x v="3"/>
    <x v="4"/>
    <n v="59.99"/>
    <x v="24"/>
    <x v="2"/>
    <x v="0"/>
    <x v="0"/>
    <s v="N/A"/>
  </r>
  <r>
    <x v="572"/>
    <x v="164"/>
    <x v="1"/>
    <s v="chrislee@yahoo.com"/>
    <x v="6"/>
    <x v="4"/>
    <x v="0"/>
    <n v="4.99"/>
    <x v="35"/>
    <x v="2"/>
    <x v="4"/>
    <x v="0"/>
    <s v="N/A"/>
  </r>
  <r>
    <x v="573"/>
    <x v="54"/>
    <x v="3"/>
    <s v="alexkim@gmail.com"/>
    <x v="6"/>
    <x v="4"/>
    <x v="2"/>
    <n v="4.99"/>
    <x v="41"/>
    <x v="3"/>
    <x v="2"/>
    <x v="0"/>
    <s v="N/A"/>
  </r>
  <r>
    <x v="574"/>
    <x v="7"/>
    <x v="3"/>
    <s v="alexkim@email.com"/>
    <x v="4"/>
    <x v="1"/>
    <x v="0"/>
    <n v="14.99"/>
    <x v="25"/>
    <x v="3"/>
    <x v="3"/>
    <x v="0"/>
    <s v="N/A"/>
  </r>
  <r>
    <x v="575"/>
    <x v="287"/>
    <x v="2"/>
    <s v="janedoe@yahoo.com"/>
    <x v="4"/>
    <x v="1"/>
    <x v="5"/>
    <n v="14.99"/>
    <x v="15"/>
    <x v="1"/>
    <x v="0"/>
    <x v="0"/>
    <s v="N/A"/>
  </r>
  <r>
    <x v="576"/>
    <x v="160"/>
    <x v="6"/>
    <s v="sarahjohnson@email.com"/>
    <x v="1"/>
    <x v="1"/>
    <x v="4"/>
    <n v="99.99"/>
    <x v="22"/>
    <x v="2"/>
    <x v="4"/>
    <x v="0"/>
    <s v="N/A"/>
  </r>
  <r>
    <x v="577"/>
    <x v="7"/>
    <x v="4"/>
    <s v="mikebrown@gmail.com"/>
    <x v="5"/>
    <x v="3"/>
    <x v="5"/>
    <n v="59.99"/>
    <x v="38"/>
    <x v="0"/>
    <x v="3"/>
    <x v="0"/>
    <s v="N/A"/>
  </r>
  <r>
    <x v="578"/>
    <x v="235"/>
    <x v="1"/>
    <s v="chrislee@email.com"/>
    <x v="8"/>
    <x v="5"/>
    <x v="5"/>
    <n v="29.99"/>
    <x v="26"/>
    <x v="3"/>
    <x v="3"/>
    <x v="2"/>
    <s v="N/A"/>
  </r>
  <r>
    <x v="579"/>
    <x v="288"/>
    <x v="0"/>
    <s v="johnsmith@email.com"/>
    <x v="8"/>
    <x v="5"/>
    <x v="1"/>
    <n v="29.99"/>
    <x v="2"/>
    <x v="0"/>
    <x v="2"/>
    <x v="1"/>
    <s v="N/A"/>
  </r>
  <r>
    <x v="580"/>
    <x v="263"/>
    <x v="3"/>
    <s v="alexkim@email.com"/>
    <x v="5"/>
    <x v="3"/>
    <x v="2"/>
    <n v="59.99"/>
    <x v="17"/>
    <x v="2"/>
    <x v="0"/>
    <x v="0"/>
    <s v="N/A"/>
  </r>
  <r>
    <x v="581"/>
    <x v="289"/>
    <x v="6"/>
    <s v="sarahjohnson@yahoo.com"/>
    <x v="7"/>
    <x v="5"/>
    <x v="2"/>
    <n v="49.99"/>
    <x v="43"/>
    <x v="2"/>
    <x v="0"/>
    <x v="0"/>
    <s v="N/A"/>
  </r>
  <r>
    <x v="582"/>
    <x v="7"/>
    <x v="5"/>
    <s v="emilychen@email.com"/>
    <x v="3"/>
    <x v="0"/>
    <x v="1"/>
    <n v="39.99"/>
    <x v="2"/>
    <x v="2"/>
    <x v="0"/>
    <x v="0"/>
    <s v="N/A"/>
  </r>
  <r>
    <x v="583"/>
    <x v="210"/>
    <x v="5"/>
    <s v="emilychen@gmail.com"/>
    <x v="4"/>
    <x v="1"/>
    <x v="0"/>
    <n v="14.99"/>
    <x v="25"/>
    <x v="2"/>
    <x v="2"/>
    <x v="0"/>
    <s v="N/A"/>
  </r>
  <r>
    <x v="584"/>
    <x v="7"/>
    <x v="6"/>
    <s v="sarahjohnson@gmail.com"/>
    <x v="8"/>
    <x v="5"/>
    <x v="1"/>
    <n v="29.99"/>
    <x v="2"/>
    <x v="1"/>
    <x v="2"/>
    <x v="0"/>
    <s v="N/A"/>
  </r>
  <r>
    <x v="585"/>
    <x v="290"/>
    <x v="0"/>
    <s v="johnsmith@gmail.com"/>
    <x v="2"/>
    <x v="2"/>
    <x v="0"/>
    <n v="79.989999999999995"/>
    <x v="7"/>
    <x v="2"/>
    <x v="2"/>
    <x v="1"/>
    <s v="N/A"/>
  </r>
  <r>
    <x v="586"/>
    <x v="113"/>
    <x v="4"/>
    <s v="N/A"/>
    <x v="5"/>
    <x v="3"/>
    <x v="4"/>
    <n v="59.99"/>
    <x v="24"/>
    <x v="3"/>
    <x v="0"/>
    <x v="0"/>
    <s v="N/A"/>
  </r>
  <r>
    <x v="587"/>
    <x v="288"/>
    <x v="1"/>
    <s v="chrislee@email.com"/>
    <x v="5"/>
    <x v="3"/>
    <x v="1"/>
    <n v="59.99"/>
    <x v="2"/>
    <x v="0"/>
    <x v="4"/>
    <x v="0"/>
    <s v="check"/>
  </r>
  <r>
    <x v="588"/>
    <x v="87"/>
    <x v="0"/>
    <s v="johnsmith@gmail.com"/>
    <x v="4"/>
    <x v="1"/>
    <x v="4"/>
    <n v="14.99"/>
    <x v="6"/>
    <x v="1"/>
    <x v="2"/>
    <x v="0"/>
    <s v="N/A"/>
  </r>
  <r>
    <x v="589"/>
    <x v="109"/>
    <x v="3"/>
    <s v="alexkim@yahoo.com"/>
    <x v="5"/>
    <x v="3"/>
    <x v="1"/>
    <n v="59.99"/>
    <x v="2"/>
    <x v="3"/>
    <x v="0"/>
    <x v="0"/>
    <s v="N/A"/>
  </r>
  <r>
    <x v="590"/>
    <x v="7"/>
    <x v="7"/>
    <s v="sarahjohnson@gmail.com"/>
    <x v="5"/>
    <x v="3"/>
    <x v="0"/>
    <n v="59.99"/>
    <x v="30"/>
    <x v="2"/>
    <x v="2"/>
    <x v="2"/>
    <s v="N/A"/>
  </r>
  <r>
    <x v="591"/>
    <x v="204"/>
    <x v="6"/>
    <s v="sarahjohnson@gmail.com"/>
    <x v="5"/>
    <x v="3"/>
    <x v="4"/>
    <n v="59.99"/>
    <x v="24"/>
    <x v="1"/>
    <x v="4"/>
    <x v="0"/>
    <s v="N/A"/>
  </r>
  <r>
    <x v="592"/>
    <x v="101"/>
    <x v="5"/>
    <s v="emilychen@email.com"/>
    <x v="7"/>
    <x v="5"/>
    <x v="2"/>
    <n v="49.99"/>
    <x v="43"/>
    <x v="2"/>
    <x v="0"/>
    <x v="1"/>
    <s v="N/A"/>
  </r>
  <r>
    <x v="593"/>
    <x v="7"/>
    <x v="3"/>
    <s v="alexkim@email.com"/>
    <x v="8"/>
    <x v="5"/>
    <x v="5"/>
    <n v="29.99"/>
    <x v="26"/>
    <x v="1"/>
    <x v="1"/>
    <x v="0"/>
    <s v="check"/>
  </r>
  <r>
    <x v="594"/>
    <x v="291"/>
    <x v="0"/>
    <s v="johnsmith@email.com"/>
    <x v="1"/>
    <x v="1"/>
    <x v="2"/>
    <n v="99.99"/>
    <x v="27"/>
    <x v="2"/>
    <x v="3"/>
    <x v="2"/>
    <s v="N/A"/>
  </r>
  <r>
    <x v="595"/>
    <x v="7"/>
    <x v="7"/>
    <s v="alexkim@yahoo.com"/>
    <x v="5"/>
    <x v="3"/>
    <x v="3"/>
    <n v="59.99"/>
    <x v="5"/>
    <x v="1"/>
    <x v="2"/>
    <x v="0"/>
    <s v="N/A"/>
  </r>
  <r>
    <x v="596"/>
    <x v="7"/>
    <x v="1"/>
    <s v="chrislee@email.com"/>
    <x v="7"/>
    <x v="5"/>
    <x v="3"/>
    <n v="49.99"/>
    <x v="8"/>
    <x v="0"/>
    <x v="2"/>
    <x v="2"/>
    <s v="check"/>
  </r>
  <r>
    <x v="597"/>
    <x v="161"/>
    <x v="3"/>
    <s v="alexkim@gmail.com"/>
    <x v="6"/>
    <x v="4"/>
    <x v="5"/>
    <n v="4.99"/>
    <x v="11"/>
    <x v="1"/>
    <x v="1"/>
    <x v="0"/>
    <s v="N/A"/>
  </r>
  <r>
    <x v="598"/>
    <x v="219"/>
    <x v="0"/>
    <s v="johnsmith@yahoo.com"/>
    <x v="3"/>
    <x v="0"/>
    <x v="5"/>
    <n v="39.99"/>
    <x v="34"/>
    <x v="2"/>
    <x v="3"/>
    <x v="2"/>
    <s v="N/A"/>
  </r>
  <r>
    <x v="599"/>
    <x v="292"/>
    <x v="1"/>
    <s v="chrislee@gmail.com"/>
    <x v="5"/>
    <x v="3"/>
    <x v="2"/>
    <n v="59.99"/>
    <x v="17"/>
    <x v="0"/>
    <x v="0"/>
    <x v="1"/>
    <s v="N/A"/>
  </r>
  <r>
    <x v="600"/>
    <x v="7"/>
    <x v="1"/>
    <s v="chrislee@email.com"/>
    <x v="2"/>
    <x v="2"/>
    <x v="4"/>
    <n v="79.989999999999995"/>
    <x v="19"/>
    <x v="2"/>
    <x v="3"/>
    <x v="1"/>
    <s v="N/A"/>
  </r>
  <r>
    <x v="601"/>
    <x v="293"/>
    <x v="0"/>
    <s v="johnsmith@yahoo.com"/>
    <x v="5"/>
    <x v="3"/>
    <x v="4"/>
    <n v="59.99"/>
    <x v="24"/>
    <x v="1"/>
    <x v="2"/>
    <x v="0"/>
    <s v="N/A"/>
  </r>
  <r>
    <x v="602"/>
    <x v="135"/>
    <x v="2"/>
    <s v="janedoe@yahoo.com"/>
    <x v="0"/>
    <x v="0"/>
    <x v="1"/>
    <n v="15.99"/>
    <x v="2"/>
    <x v="3"/>
    <x v="0"/>
    <x v="2"/>
    <s v="N/A"/>
  </r>
  <r>
    <x v="603"/>
    <x v="7"/>
    <x v="1"/>
    <s v="chrislee@email.com"/>
    <x v="1"/>
    <x v="1"/>
    <x v="5"/>
    <n v="99.99"/>
    <x v="18"/>
    <x v="1"/>
    <x v="0"/>
    <x v="0"/>
    <s v="N/A"/>
  </r>
  <r>
    <x v="604"/>
    <x v="7"/>
    <x v="1"/>
    <s v="chrislee@email.com"/>
    <x v="1"/>
    <x v="1"/>
    <x v="5"/>
    <n v="99.99"/>
    <x v="18"/>
    <x v="2"/>
    <x v="4"/>
    <x v="2"/>
    <s v="N/A"/>
  </r>
  <r>
    <x v="605"/>
    <x v="79"/>
    <x v="6"/>
    <s v="sarahjohnson@gmail.com"/>
    <x v="7"/>
    <x v="5"/>
    <x v="4"/>
    <n v="49.99"/>
    <x v="13"/>
    <x v="0"/>
    <x v="0"/>
    <x v="0"/>
    <s v="N/A"/>
  </r>
  <r>
    <x v="606"/>
    <x v="7"/>
    <x v="2"/>
    <s v="janedoe@yahoo.com"/>
    <x v="5"/>
    <x v="3"/>
    <x v="1"/>
    <n v="59.99"/>
    <x v="2"/>
    <x v="2"/>
    <x v="0"/>
    <x v="0"/>
    <s v="N/A"/>
  </r>
  <r>
    <x v="607"/>
    <x v="201"/>
    <x v="3"/>
    <s v="alexkim@email.com"/>
    <x v="2"/>
    <x v="2"/>
    <x v="1"/>
    <n v="79.989999999999995"/>
    <x v="2"/>
    <x v="3"/>
    <x v="4"/>
    <x v="2"/>
    <s v="check"/>
  </r>
  <r>
    <x v="608"/>
    <x v="287"/>
    <x v="3"/>
    <s v="alexkim@email.com"/>
    <x v="6"/>
    <x v="4"/>
    <x v="5"/>
    <n v="4.99"/>
    <x v="11"/>
    <x v="2"/>
    <x v="4"/>
    <x v="0"/>
    <s v="N/A"/>
  </r>
  <r>
    <x v="609"/>
    <x v="199"/>
    <x v="1"/>
    <s v="chrislee@email.com"/>
    <x v="8"/>
    <x v="5"/>
    <x v="0"/>
    <n v="29.99"/>
    <x v="16"/>
    <x v="2"/>
    <x v="1"/>
    <x v="0"/>
    <s v="N/A"/>
  </r>
  <r>
    <x v="610"/>
    <x v="206"/>
    <x v="3"/>
    <s v="alexkim@gmail.com"/>
    <x v="6"/>
    <x v="4"/>
    <x v="1"/>
    <n v="4.99"/>
    <x v="2"/>
    <x v="0"/>
    <x v="0"/>
    <x v="1"/>
    <s v="N/A"/>
  </r>
  <r>
    <x v="611"/>
    <x v="7"/>
    <x v="1"/>
    <s v="chrislee@email.com"/>
    <x v="5"/>
    <x v="3"/>
    <x v="1"/>
    <n v="59.99"/>
    <x v="2"/>
    <x v="2"/>
    <x v="0"/>
    <x v="0"/>
    <s v="check"/>
  </r>
  <r>
    <x v="612"/>
    <x v="294"/>
    <x v="1"/>
    <s v="chrislee@gmail.com"/>
    <x v="3"/>
    <x v="0"/>
    <x v="1"/>
    <n v="39.99"/>
    <x v="2"/>
    <x v="1"/>
    <x v="0"/>
    <x v="1"/>
    <s v="N/A"/>
  </r>
  <r>
    <x v="613"/>
    <x v="295"/>
    <x v="4"/>
    <s v="mikebrown@yahoo.com"/>
    <x v="7"/>
    <x v="5"/>
    <x v="1"/>
    <n v="49.99"/>
    <x v="2"/>
    <x v="2"/>
    <x v="1"/>
    <x v="2"/>
    <s v="N/A"/>
  </r>
  <r>
    <x v="614"/>
    <x v="296"/>
    <x v="1"/>
    <s v="chrislee@gmail.com"/>
    <x v="4"/>
    <x v="1"/>
    <x v="3"/>
    <n v="14.99"/>
    <x v="4"/>
    <x v="2"/>
    <x v="0"/>
    <x v="1"/>
    <s v="N/A"/>
  </r>
  <r>
    <x v="615"/>
    <x v="297"/>
    <x v="3"/>
    <s v="alexkim@yahoo.com"/>
    <x v="5"/>
    <x v="3"/>
    <x v="5"/>
    <n v="59.99"/>
    <x v="38"/>
    <x v="0"/>
    <x v="2"/>
    <x v="0"/>
    <s v="N/A"/>
  </r>
  <r>
    <x v="616"/>
    <x v="88"/>
    <x v="4"/>
    <s v="mikebrown@yahoo.com"/>
    <x v="5"/>
    <x v="3"/>
    <x v="2"/>
    <n v="59.99"/>
    <x v="17"/>
    <x v="1"/>
    <x v="0"/>
    <x v="0"/>
    <s v="N/A"/>
  </r>
  <r>
    <x v="617"/>
    <x v="7"/>
    <x v="4"/>
    <s v="mikebrown@email.com"/>
    <x v="1"/>
    <x v="1"/>
    <x v="3"/>
    <n v="99.99"/>
    <x v="12"/>
    <x v="1"/>
    <x v="0"/>
    <x v="0"/>
    <s v="N/A"/>
  </r>
  <r>
    <x v="618"/>
    <x v="7"/>
    <x v="6"/>
    <s v="sarahjohnson@email.com"/>
    <x v="8"/>
    <x v="5"/>
    <x v="1"/>
    <n v="29.99"/>
    <x v="2"/>
    <x v="2"/>
    <x v="1"/>
    <x v="2"/>
    <s v="N/A"/>
  </r>
  <r>
    <x v="619"/>
    <x v="7"/>
    <x v="2"/>
    <s v="N/A"/>
    <x v="8"/>
    <x v="5"/>
    <x v="3"/>
    <n v="29.99"/>
    <x v="28"/>
    <x v="2"/>
    <x v="2"/>
    <x v="0"/>
    <s v="N/A"/>
  </r>
  <r>
    <x v="620"/>
    <x v="7"/>
    <x v="1"/>
    <s v="chrislee@email.com"/>
    <x v="2"/>
    <x v="2"/>
    <x v="0"/>
    <n v="79.989999999999995"/>
    <x v="7"/>
    <x v="2"/>
    <x v="1"/>
    <x v="0"/>
    <s v="N/A"/>
  </r>
  <r>
    <x v="621"/>
    <x v="7"/>
    <x v="4"/>
    <s v="mikebrown@yahoo.com"/>
    <x v="2"/>
    <x v="2"/>
    <x v="5"/>
    <n v="79.989999999999995"/>
    <x v="23"/>
    <x v="3"/>
    <x v="2"/>
    <x v="1"/>
    <s v="N/A"/>
  </r>
  <r>
    <x v="622"/>
    <x v="7"/>
    <x v="1"/>
    <s v="chrislee@gmail.com"/>
    <x v="2"/>
    <x v="2"/>
    <x v="2"/>
    <n v="79.989999999999995"/>
    <x v="39"/>
    <x v="2"/>
    <x v="0"/>
    <x v="0"/>
    <s v="N/A"/>
  </r>
  <r>
    <x v="623"/>
    <x v="111"/>
    <x v="6"/>
    <s v="sarahjohnson@yahoo.com"/>
    <x v="1"/>
    <x v="1"/>
    <x v="1"/>
    <n v="99.99"/>
    <x v="2"/>
    <x v="2"/>
    <x v="1"/>
    <x v="1"/>
    <s v="N/A"/>
  </r>
  <r>
    <x v="624"/>
    <x v="7"/>
    <x v="6"/>
    <s v="sarahjohnson@gmail.com"/>
    <x v="8"/>
    <x v="5"/>
    <x v="1"/>
    <n v="29.99"/>
    <x v="2"/>
    <x v="2"/>
    <x v="4"/>
    <x v="1"/>
    <s v="N/A"/>
  </r>
  <r>
    <x v="625"/>
    <x v="45"/>
    <x v="4"/>
    <s v="mikebrown@yahoo.com"/>
    <x v="8"/>
    <x v="5"/>
    <x v="0"/>
    <n v="29.99"/>
    <x v="16"/>
    <x v="1"/>
    <x v="1"/>
    <x v="0"/>
    <s v="N/A"/>
  </r>
  <r>
    <x v="626"/>
    <x v="207"/>
    <x v="3"/>
    <s v="alexkim@gmail.com"/>
    <x v="5"/>
    <x v="3"/>
    <x v="4"/>
    <n v="59.99"/>
    <x v="24"/>
    <x v="2"/>
    <x v="2"/>
    <x v="0"/>
    <s v="N/A"/>
  </r>
  <r>
    <x v="627"/>
    <x v="275"/>
    <x v="7"/>
    <s v="johnsmith@gmail.com"/>
    <x v="1"/>
    <x v="1"/>
    <x v="4"/>
    <n v="99.99"/>
    <x v="22"/>
    <x v="3"/>
    <x v="4"/>
    <x v="1"/>
    <s v="check"/>
  </r>
  <r>
    <x v="628"/>
    <x v="7"/>
    <x v="6"/>
    <s v="sarahjohnson@yahoo.com"/>
    <x v="8"/>
    <x v="5"/>
    <x v="4"/>
    <n v="29.99"/>
    <x v="37"/>
    <x v="3"/>
    <x v="2"/>
    <x v="0"/>
    <s v="N/A"/>
  </r>
  <r>
    <x v="629"/>
    <x v="129"/>
    <x v="2"/>
    <s v="janedoe@gmail.com"/>
    <x v="1"/>
    <x v="1"/>
    <x v="0"/>
    <n v="99.99"/>
    <x v="1"/>
    <x v="0"/>
    <x v="0"/>
    <x v="0"/>
    <s v="check"/>
  </r>
  <r>
    <x v="630"/>
    <x v="7"/>
    <x v="3"/>
    <s v="alexkim@email.com"/>
    <x v="3"/>
    <x v="0"/>
    <x v="3"/>
    <n v="39.99"/>
    <x v="44"/>
    <x v="2"/>
    <x v="0"/>
    <x v="2"/>
    <s v="N/A"/>
  </r>
  <r>
    <x v="631"/>
    <x v="87"/>
    <x v="1"/>
    <s v="N/A"/>
    <x v="6"/>
    <x v="4"/>
    <x v="4"/>
    <n v="4.99"/>
    <x v="36"/>
    <x v="0"/>
    <x v="1"/>
    <x v="0"/>
    <s v="N/A"/>
  </r>
  <r>
    <x v="632"/>
    <x v="7"/>
    <x v="7"/>
    <s v="johnsmith@yahoo.com"/>
    <x v="1"/>
    <x v="1"/>
    <x v="1"/>
    <n v="99.99"/>
    <x v="2"/>
    <x v="1"/>
    <x v="2"/>
    <x v="0"/>
    <s v="N/A"/>
  </r>
  <r>
    <x v="633"/>
    <x v="40"/>
    <x v="1"/>
    <s v="chrislee@yahoo.com"/>
    <x v="8"/>
    <x v="5"/>
    <x v="1"/>
    <n v="29.99"/>
    <x v="2"/>
    <x v="1"/>
    <x v="2"/>
    <x v="0"/>
    <s v="N/A"/>
  </r>
  <r>
    <x v="634"/>
    <x v="7"/>
    <x v="1"/>
    <s v="chrislee@yahoo.com"/>
    <x v="8"/>
    <x v="5"/>
    <x v="0"/>
    <n v="29.99"/>
    <x v="16"/>
    <x v="2"/>
    <x v="0"/>
    <x v="0"/>
    <s v="N/A"/>
  </r>
  <r>
    <x v="635"/>
    <x v="298"/>
    <x v="3"/>
    <s v="alexkim@email.com"/>
    <x v="6"/>
    <x v="4"/>
    <x v="4"/>
    <n v="4.99"/>
    <x v="36"/>
    <x v="3"/>
    <x v="4"/>
    <x v="0"/>
    <s v="N/A"/>
  </r>
  <r>
    <x v="636"/>
    <x v="299"/>
    <x v="1"/>
    <s v="chrislee@yahoo.com"/>
    <x v="7"/>
    <x v="5"/>
    <x v="0"/>
    <n v="49.99"/>
    <x v="20"/>
    <x v="2"/>
    <x v="0"/>
    <x v="1"/>
    <s v="N/A"/>
  </r>
  <r>
    <x v="637"/>
    <x v="300"/>
    <x v="1"/>
    <s v="chrislee@email.com"/>
    <x v="8"/>
    <x v="5"/>
    <x v="4"/>
    <n v="29.99"/>
    <x v="37"/>
    <x v="2"/>
    <x v="1"/>
    <x v="0"/>
    <s v="N/A"/>
  </r>
  <r>
    <x v="638"/>
    <x v="37"/>
    <x v="2"/>
    <s v="janedoe@gmail.com"/>
    <x v="7"/>
    <x v="5"/>
    <x v="2"/>
    <n v="49.99"/>
    <x v="43"/>
    <x v="2"/>
    <x v="0"/>
    <x v="0"/>
    <s v="N/A"/>
  </r>
  <r>
    <x v="639"/>
    <x v="301"/>
    <x v="1"/>
    <s v="chrislee@yahoo.com"/>
    <x v="4"/>
    <x v="1"/>
    <x v="0"/>
    <n v="14.99"/>
    <x v="25"/>
    <x v="2"/>
    <x v="2"/>
    <x v="0"/>
    <s v="N/A"/>
  </r>
  <r>
    <x v="640"/>
    <x v="213"/>
    <x v="3"/>
    <s v="alexkim@email.com"/>
    <x v="2"/>
    <x v="2"/>
    <x v="4"/>
    <n v="79.989999999999995"/>
    <x v="19"/>
    <x v="2"/>
    <x v="0"/>
    <x v="2"/>
    <s v="N/A"/>
  </r>
  <r>
    <x v="641"/>
    <x v="302"/>
    <x v="4"/>
    <s v="mikebrown@yahoo.com"/>
    <x v="4"/>
    <x v="1"/>
    <x v="4"/>
    <n v="14.99"/>
    <x v="6"/>
    <x v="2"/>
    <x v="2"/>
    <x v="0"/>
    <s v="check"/>
  </r>
  <r>
    <x v="642"/>
    <x v="133"/>
    <x v="3"/>
    <s v="alexkim@email.com"/>
    <x v="5"/>
    <x v="3"/>
    <x v="2"/>
    <n v="59.99"/>
    <x v="17"/>
    <x v="2"/>
    <x v="0"/>
    <x v="1"/>
    <s v="N/A"/>
  </r>
  <r>
    <x v="643"/>
    <x v="142"/>
    <x v="7"/>
    <s v="janedoe@yahoo.com"/>
    <x v="2"/>
    <x v="2"/>
    <x v="4"/>
    <n v="79.989999999999995"/>
    <x v="19"/>
    <x v="3"/>
    <x v="0"/>
    <x v="0"/>
    <s v="N/A"/>
  </r>
  <r>
    <x v="644"/>
    <x v="7"/>
    <x v="5"/>
    <s v="emilychen@email.com"/>
    <x v="4"/>
    <x v="1"/>
    <x v="4"/>
    <n v="14.99"/>
    <x v="6"/>
    <x v="1"/>
    <x v="2"/>
    <x v="2"/>
    <s v="N/A"/>
  </r>
  <r>
    <x v="645"/>
    <x v="7"/>
    <x v="4"/>
    <s v="mikebrown@gmail.com"/>
    <x v="7"/>
    <x v="5"/>
    <x v="2"/>
    <n v="49.99"/>
    <x v="43"/>
    <x v="3"/>
    <x v="2"/>
    <x v="1"/>
    <s v="N/A"/>
  </r>
  <r>
    <x v="646"/>
    <x v="294"/>
    <x v="4"/>
    <s v="mikebrown@yahoo.com"/>
    <x v="8"/>
    <x v="5"/>
    <x v="5"/>
    <n v="29.99"/>
    <x v="26"/>
    <x v="2"/>
    <x v="4"/>
    <x v="0"/>
    <s v="N/A"/>
  </r>
  <r>
    <x v="647"/>
    <x v="7"/>
    <x v="3"/>
    <s v="alexkim@yahoo.com"/>
    <x v="8"/>
    <x v="5"/>
    <x v="4"/>
    <n v="29.99"/>
    <x v="37"/>
    <x v="2"/>
    <x v="2"/>
    <x v="2"/>
    <s v="N/A"/>
  </r>
  <r>
    <x v="648"/>
    <x v="14"/>
    <x v="0"/>
    <s v="johnsmith@email.com"/>
    <x v="6"/>
    <x v="4"/>
    <x v="3"/>
    <n v="4.99"/>
    <x v="21"/>
    <x v="2"/>
    <x v="0"/>
    <x v="2"/>
    <s v="N/A"/>
  </r>
  <r>
    <x v="649"/>
    <x v="7"/>
    <x v="0"/>
    <s v="johnsmith@gmail.com"/>
    <x v="1"/>
    <x v="1"/>
    <x v="0"/>
    <n v="99.99"/>
    <x v="1"/>
    <x v="2"/>
    <x v="2"/>
    <x v="0"/>
    <s v="N/A"/>
  </r>
  <r>
    <x v="650"/>
    <x v="303"/>
    <x v="6"/>
    <s v="sarahjohnson@gmail.com"/>
    <x v="3"/>
    <x v="0"/>
    <x v="2"/>
    <n v="39.99"/>
    <x v="3"/>
    <x v="1"/>
    <x v="1"/>
    <x v="0"/>
    <s v="N/A"/>
  </r>
  <r>
    <x v="651"/>
    <x v="7"/>
    <x v="7"/>
    <s v="emilychen@email.com"/>
    <x v="0"/>
    <x v="0"/>
    <x v="4"/>
    <n v="15.99"/>
    <x v="9"/>
    <x v="0"/>
    <x v="0"/>
    <x v="1"/>
    <s v="N/A"/>
  </r>
  <r>
    <x v="652"/>
    <x v="7"/>
    <x v="0"/>
    <s v="johnsmith@email.com"/>
    <x v="2"/>
    <x v="2"/>
    <x v="2"/>
    <n v="79.989999999999995"/>
    <x v="39"/>
    <x v="0"/>
    <x v="0"/>
    <x v="0"/>
    <s v="N/A"/>
  </r>
  <r>
    <x v="653"/>
    <x v="299"/>
    <x v="0"/>
    <s v="johnsmith@email.com"/>
    <x v="6"/>
    <x v="4"/>
    <x v="2"/>
    <n v="4.99"/>
    <x v="41"/>
    <x v="3"/>
    <x v="0"/>
    <x v="0"/>
    <s v="N/A"/>
  </r>
  <r>
    <x v="654"/>
    <x v="163"/>
    <x v="3"/>
    <s v="alexkim@yahoo.com"/>
    <x v="5"/>
    <x v="3"/>
    <x v="4"/>
    <n v="59.99"/>
    <x v="24"/>
    <x v="2"/>
    <x v="0"/>
    <x v="2"/>
    <s v="check"/>
  </r>
  <r>
    <x v="655"/>
    <x v="7"/>
    <x v="0"/>
    <s v="johnsmith@gmail.com"/>
    <x v="6"/>
    <x v="4"/>
    <x v="1"/>
    <n v="4.99"/>
    <x v="2"/>
    <x v="3"/>
    <x v="1"/>
    <x v="2"/>
    <s v="N/A"/>
  </r>
  <r>
    <x v="656"/>
    <x v="251"/>
    <x v="5"/>
    <s v="emilychen@yahoo.com"/>
    <x v="4"/>
    <x v="1"/>
    <x v="4"/>
    <n v="14.99"/>
    <x v="6"/>
    <x v="1"/>
    <x v="2"/>
    <x v="0"/>
    <s v="N/A"/>
  </r>
  <r>
    <x v="657"/>
    <x v="304"/>
    <x v="2"/>
    <s v="janedoe@email.com"/>
    <x v="2"/>
    <x v="2"/>
    <x v="3"/>
    <n v="79.989999999999995"/>
    <x v="29"/>
    <x v="1"/>
    <x v="3"/>
    <x v="2"/>
    <s v="N/A"/>
  </r>
  <r>
    <x v="658"/>
    <x v="213"/>
    <x v="6"/>
    <s v="sarahjohnson@gmail.com"/>
    <x v="1"/>
    <x v="1"/>
    <x v="0"/>
    <n v="99.99"/>
    <x v="1"/>
    <x v="3"/>
    <x v="0"/>
    <x v="0"/>
    <s v="check"/>
  </r>
  <r>
    <x v="659"/>
    <x v="7"/>
    <x v="0"/>
    <s v="johnsmith@gmail.com"/>
    <x v="2"/>
    <x v="2"/>
    <x v="1"/>
    <n v="79.989999999999995"/>
    <x v="2"/>
    <x v="2"/>
    <x v="0"/>
    <x v="0"/>
    <s v="N/A"/>
  </r>
  <r>
    <x v="660"/>
    <x v="16"/>
    <x v="2"/>
    <s v="N/A"/>
    <x v="1"/>
    <x v="1"/>
    <x v="2"/>
    <n v="99.99"/>
    <x v="27"/>
    <x v="3"/>
    <x v="3"/>
    <x v="0"/>
    <s v="N/A"/>
  </r>
  <r>
    <x v="661"/>
    <x v="305"/>
    <x v="6"/>
    <s v="sarahjohnson@yahoo.com"/>
    <x v="3"/>
    <x v="0"/>
    <x v="0"/>
    <n v="39.99"/>
    <x v="10"/>
    <x v="2"/>
    <x v="1"/>
    <x v="1"/>
    <s v="N/A"/>
  </r>
  <r>
    <x v="662"/>
    <x v="7"/>
    <x v="3"/>
    <s v="alexkim@gmail.com"/>
    <x v="2"/>
    <x v="2"/>
    <x v="1"/>
    <n v="79.989999999999995"/>
    <x v="2"/>
    <x v="3"/>
    <x v="1"/>
    <x v="2"/>
    <s v="N/A"/>
  </r>
  <r>
    <x v="663"/>
    <x v="306"/>
    <x v="4"/>
    <s v="mikebrown@yahoo.com"/>
    <x v="1"/>
    <x v="1"/>
    <x v="4"/>
    <n v="99.99"/>
    <x v="22"/>
    <x v="2"/>
    <x v="1"/>
    <x v="0"/>
    <s v="N/A"/>
  </r>
  <r>
    <x v="664"/>
    <x v="8"/>
    <x v="4"/>
    <s v="mikebrown@yahoo.com"/>
    <x v="4"/>
    <x v="1"/>
    <x v="1"/>
    <n v="14.99"/>
    <x v="2"/>
    <x v="0"/>
    <x v="4"/>
    <x v="1"/>
    <s v="N/A"/>
  </r>
  <r>
    <x v="665"/>
    <x v="76"/>
    <x v="6"/>
    <s v="sarahjohnson@yahoo.com"/>
    <x v="0"/>
    <x v="0"/>
    <x v="3"/>
    <n v="15.99"/>
    <x v="45"/>
    <x v="3"/>
    <x v="2"/>
    <x v="0"/>
    <s v="check"/>
  </r>
  <r>
    <x v="666"/>
    <x v="306"/>
    <x v="1"/>
    <s v="chrislee@gmail.com"/>
    <x v="0"/>
    <x v="0"/>
    <x v="3"/>
    <n v="15.99"/>
    <x v="45"/>
    <x v="2"/>
    <x v="4"/>
    <x v="0"/>
    <s v="N/A"/>
  </r>
  <r>
    <x v="667"/>
    <x v="7"/>
    <x v="1"/>
    <s v="chrislee@email.com"/>
    <x v="7"/>
    <x v="5"/>
    <x v="5"/>
    <n v="49.99"/>
    <x v="32"/>
    <x v="2"/>
    <x v="1"/>
    <x v="1"/>
    <s v="N/A"/>
  </r>
  <r>
    <x v="668"/>
    <x v="307"/>
    <x v="7"/>
    <s v="janedoe@email.com"/>
    <x v="1"/>
    <x v="1"/>
    <x v="1"/>
    <n v="99.99"/>
    <x v="2"/>
    <x v="2"/>
    <x v="2"/>
    <x v="2"/>
    <s v="N/A"/>
  </r>
  <r>
    <x v="669"/>
    <x v="233"/>
    <x v="1"/>
    <s v="chrislee@gmail.com"/>
    <x v="5"/>
    <x v="3"/>
    <x v="4"/>
    <n v="59.99"/>
    <x v="24"/>
    <x v="0"/>
    <x v="3"/>
    <x v="0"/>
    <s v="N/A"/>
  </r>
  <r>
    <x v="670"/>
    <x v="66"/>
    <x v="2"/>
    <s v="N/A"/>
    <x v="2"/>
    <x v="2"/>
    <x v="1"/>
    <n v="79.989999999999995"/>
    <x v="2"/>
    <x v="3"/>
    <x v="4"/>
    <x v="1"/>
    <s v="N/A"/>
  </r>
  <r>
    <x v="671"/>
    <x v="7"/>
    <x v="0"/>
    <s v="johnsmith@email.com"/>
    <x v="5"/>
    <x v="3"/>
    <x v="1"/>
    <n v="59.99"/>
    <x v="2"/>
    <x v="2"/>
    <x v="2"/>
    <x v="0"/>
    <s v="N/A"/>
  </r>
  <r>
    <x v="672"/>
    <x v="69"/>
    <x v="3"/>
    <s v="alexkim@email.com"/>
    <x v="7"/>
    <x v="5"/>
    <x v="3"/>
    <n v="49.99"/>
    <x v="8"/>
    <x v="1"/>
    <x v="2"/>
    <x v="0"/>
    <s v="N/A"/>
  </r>
  <r>
    <x v="673"/>
    <x v="215"/>
    <x v="6"/>
    <s v="sarahjohnson@email.com"/>
    <x v="6"/>
    <x v="4"/>
    <x v="0"/>
    <n v="4.99"/>
    <x v="35"/>
    <x v="3"/>
    <x v="0"/>
    <x v="2"/>
    <s v="N/A"/>
  </r>
  <r>
    <x v="674"/>
    <x v="160"/>
    <x v="5"/>
    <s v="emilychen@yahoo.com"/>
    <x v="3"/>
    <x v="0"/>
    <x v="1"/>
    <n v="39.99"/>
    <x v="2"/>
    <x v="2"/>
    <x v="2"/>
    <x v="0"/>
    <s v="N/A"/>
  </r>
  <r>
    <x v="675"/>
    <x v="7"/>
    <x v="0"/>
    <s v="johnsmith@email.com"/>
    <x v="3"/>
    <x v="0"/>
    <x v="5"/>
    <n v="39.99"/>
    <x v="34"/>
    <x v="0"/>
    <x v="0"/>
    <x v="1"/>
    <s v="N/A"/>
  </r>
  <r>
    <x v="676"/>
    <x v="249"/>
    <x v="6"/>
    <s v="sarahjohnson@gmail.com"/>
    <x v="2"/>
    <x v="2"/>
    <x v="0"/>
    <n v="79.989999999999995"/>
    <x v="7"/>
    <x v="2"/>
    <x v="1"/>
    <x v="0"/>
    <s v="N/A"/>
  </r>
  <r>
    <x v="677"/>
    <x v="280"/>
    <x v="5"/>
    <s v="emilychen@email.com"/>
    <x v="5"/>
    <x v="3"/>
    <x v="2"/>
    <n v="59.99"/>
    <x v="17"/>
    <x v="2"/>
    <x v="2"/>
    <x v="0"/>
    <s v="N/A"/>
  </r>
  <r>
    <x v="678"/>
    <x v="147"/>
    <x v="1"/>
    <s v="chrislee@yahoo.com"/>
    <x v="6"/>
    <x v="4"/>
    <x v="1"/>
    <n v="4.99"/>
    <x v="2"/>
    <x v="1"/>
    <x v="4"/>
    <x v="0"/>
    <s v="N/A"/>
  </r>
  <r>
    <x v="679"/>
    <x v="308"/>
    <x v="4"/>
    <s v="mikebrown@yahoo.com"/>
    <x v="3"/>
    <x v="0"/>
    <x v="3"/>
    <n v="39.99"/>
    <x v="44"/>
    <x v="3"/>
    <x v="4"/>
    <x v="0"/>
    <s v="N/A"/>
  </r>
  <r>
    <x v="680"/>
    <x v="161"/>
    <x v="1"/>
    <s v="chrislee@yahoo.com"/>
    <x v="3"/>
    <x v="0"/>
    <x v="0"/>
    <n v="39.99"/>
    <x v="10"/>
    <x v="2"/>
    <x v="0"/>
    <x v="0"/>
    <s v="N/A"/>
  </r>
  <r>
    <x v="681"/>
    <x v="7"/>
    <x v="6"/>
    <s v="sarahjohnson@email.com"/>
    <x v="2"/>
    <x v="2"/>
    <x v="4"/>
    <n v="79.989999999999995"/>
    <x v="19"/>
    <x v="2"/>
    <x v="0"/>
    <x v="1"/>
    <s v="N/A"/>
  </r>
  <r>
    <x v="682"/>
    <x v="7"/>
    <x v="0"/>
    <s v="johnsmith@gmail.com"/>
    <x v="6"/>
    <x v="4"/>
    <x v="3"/>
    <n v="4.99"/>
    <x v="21"/>
    <x v="2"/>
    <x v="1"/>
    <x v="0"/>
    <s v="N/A"/>
  </r>
  <r>
    <x v="683"/>
    <x v="7"/>
    <x v="1"/>
    <s v="chrislee@yahoo.com"/>
    <x v="2"/>
    <x v="2"/>
    <x v="3"/>
    <n v="79.989999999999995"/>
    <x v="29"/>
    <x v="2"/>
    <x v="0"/>
    <x v="0"/>
    <s v="N/A"/>
  </r>
  <r>
    <x v="684"/>
    <x v="304"/>
    <x v="5"/>
    <s v="emilychen@yahoo.com"/>
    <x v="4"/>
    <x v="1"/>
    <x v="2"/>
    <n v="14.99"/>
    <x v="33"/>
    <x v="2"/>
    <x v="0"/>
    <x v="1"/>
    <s v="N/A"/>
  </r>
  <r>
    <x v="685"/>
    <x v="309"/>
    <x v="1"/>
    <s v="chrislee@email.com"/>
    <x v="7"/>
    <x v="5"/>
    <x v="0"/>
    <n v="49.99"/>
    <x v="20"/>
    <x v="0"/>
    <x v="1"/>
    <x v="0"/>
    <s v="N/A"/>
  </r>
  <r>
    <x v="686"/>
    <x v="310"/>
    <x v="0"/>
    <s v="johnsmith@yahoo.com"/>
    <x v="2"/>
    <x v="2"/>
    <x v="3"/>
    <n v="79.989999999999995"/>
    <x v="29"/>
    <x v="3"/>
    <x v="0"/>
    <x v="0"/>
    <s v="N/A"/>
  </r>
  <r>
    <x v="687"/>
    <x v="81"/>
    <x v="3"/>
    <s v="alexkim@yahoo.com"/>
    <x v="2"/>
    <x v="2"/>
    <x v="5"/>
    <n v="79.989999999999995"/>
    <x v="23"/>
    <x v="3"/>
    <x v="2"/>
    <x v="1"/>
    <s v="N/A"/>
  </r>
  <r>
    <x v="688"/>
    <x v="142"/>
    <x v="0"/>
    <s v="johnsmith@email.com"/>
    <x v="4"/>
    <x v="1"/>
    <x v="4"/>
    <n v="14.99"/>
    <x v="6"/>
    <x v="1"/>
    <x v="2"/>
    <x v="0"/>
    <s v="N/A"/>
  </r>
  <r>
    <x v="689"/>
    <x v="78"/>
    <x v="1"/>
    <s v="chrislee@email.com"/>
    <x v="1"/>
    <x v="1"/>
    <x v="1"/>
    <n v="99.99"/>
    <x v="2"/>
    <x v="2"/>
    <x v="1"/>
    <x v="1"/>
    <s v="N/A"/>
  </r>
  <r>
    <x v="690"/>
    <x v="33"/>
    <x v="0"/>
    <s v="johnsmith@gmail.com"/>
    <x v="0"/>
    <x v="0"/>
    <x v="4"/>
    <n v="15.99"/>
    <x v="9"/>
    <x v="3"/>
    <x v="1"/>
    <x v="0"/>
    <s v="N/A"/>
  </r>
  <r>
    <x v="691"/>
    <x v="7"/>
    <x v="6"/>
    <s v="sarahjohnson@yahoo.com"/>
    <x v="1"/>
    <x v="1"/>
    <x v="0"/>
    <n v="99.99"/>
    <x v="1"/>
    <x v="2"/>
    <x v="2"/>
    <x v="0"/>
    <s v="N/A"/>
  </r>
  <r>
    <x v="692"/>
    <x v="7"/>
    <x v="6"/>
    <s v="sarahjohnson@gmail.com"/>
    <x v="8"/>
    <x v="5"/>
    <x v="0"/>
    <n v="29.99"/>
    <x v="16"/>
    <x v="2"/>
    <x v="0"/>
    <x v="0"/>
    <s v="N/A"/>
  </r>
  <r>
    <x v="693"/>
    <x v="9"/>
    <x v="6"/>
    <s v="sarahjohnson@yahoo.com"/>
    <x v="6"/>
    <x v="4"/>
    <x v="0"/>
    <n v="4.99"/>
    <x v="35"/>
    <x v="0"/>
    <x v="3"/>
    <x v="0"/>
    <s v="N/A"/>
  </r>
  <r>
    <x v="694"/>
    <x v="7"/>
    <x v="5"/>
    <s v="emilychen@gmail.com"/>
    <x v="0"/>
    <x v="0"/>
    <x v="4"/>
    <n v="15.99"/>
    <x v="9"/>
    <x v="0"/>
    <x v="1"/>
    <x v="0"/>
    <s v="N/A"/>
  </r>
  <r>
    <x v="695"/>
    <x v="65"/>
    <x v="3"/>
    <s v="alexkim@gmail.com"/>
    <x v="0"/>
    <x v="0"/>
    <x v="5"/>
    <n v="15.99"/>
    <x v="40"/>
    <x v="0"/>
    <x v="3"/>
    <x v="0"/>
    <s v="N/A"/>
  </r>
  <r>
    <x v="696"/>
    <x v="105"/>
    <x v="5"/>
    <s v="emilychen@email.com"/>
    <x v="1"/>
    <x v="1"/>
    <x v="3"/>
    <n v="99.99"/>
    <x v="12"/>
    <x v="1"/>
    <x v="3"/>
    <x v="1"/>
    <s v="N/A"/>
  </r>
  <r>
    <x v="697"/>
    <x v="7"/>
    <x v="0"/>
    <s v="johnsmith@yahoo.com"/>
    <x v="1"/>
    <x v="1"/>
    <x v="2"/>
    <n v="99.99"/>
    <x v="27"/>
    <x v="1"/>
    <x v="3"/>
    <x v="0"/>
    <s v="N/A"/>
  </r>
  <r>
    <x v="698"/>
    <x v="107"/>
    <x v="5"/>
    <s v="emilychen@gmail.com"/>
    <x v="1"/>
    <x v="1"/>
    <x v="1"/>
    <n v="99.99"/>
    <x v="2"/>
    <x v="2"/>
    <x v="2"/>
    <x v="0"/>
    <s v="N/A"/>
  </r>
  <r>
    <x v="699"/>
    <x v="311"/>
    <x v="2"/>
    <s v="janedoe@gmail.com"/>
    <x v="0"/>
    <x v="0"/>
    <x v="3"/>
    <n v="15.99"/>
    <x v="45"/>
    <x v="1"/>
    <x v="1"/>
    <x v="0"/>
    <s v="N/A"/>
  </r>
  <r>
    <x v="700"/>
    <x v="7"/>
    <x v="4"/>
    <s v="mikebrown@email.com"/>
    <x v="8"/>
    <x v="5"/>
    <x v="1"/>
    <n v="29.99"/>
    <x v="2"/>
    <x v="2"/>
    <x v="4"/>
    <x v="0"/>
    <s v="N/A"/>
  </r>
  <r>
    <x v="701"/>
    <x v="268"/>
    <x v="5"/>
    <s v="emilychen@yahoo.com"/>
    <x v="0"/>
    <x v="0"/>
    <x v="2"/>
    <n v="15.99"/>
    <x v="42"/>
    <x v="2"/>
    <x v="2"/>
    <x v="2"/>
    <s v="N/A"/>
  </r>
  <r>
    <x v="702"/>
    <x v="7"/>
    <x v="4"/>
    <s v="mikebrown@yahoo.com"/>
    <x v="8"/>
    <x v="5"/>
    <x v="4"/>
    <n v="29.99"/>
    <x v="37"/>
    <x v="0"/>
    <x v="1"/>
    <x v="0"/>
    <s v="N/A"/>
  </r>
  <r>
    <x v="703"/>
    <x v="7"/>
    <x v="2"/>
    <s v="N/A"/>
    <x v="3"/>
    <x v="0"/>
    <x v="1"/>
    <n v="39.99"/>
    <x v="2"/>
    <x v="3"/>
    <x v="4"/>
    <x v="1"/>
    <s v="N/A"/>
  </r>
  <r>
    <x v="704"/>
    <x v="312"/>
    <x v="2"/>
    <s v="janedoe@yahoo.com"/>
    <x v="2"/>
    <x v="2"/>
    <x v="4"/>
    <n v="79.989999999999995"/>
    <x v="19"/>
    <x v="2"/>
    <x v="2"/>
    <x v="0"/>
    <s v="N/A"/>
  </r>
  <r>
    <x v="705"/>
    <x v="107"/>
    <x v="0"/>
    <s v="johnsmith@yahoo.com"/>
    <x v="7"/>
    <x v="5"/>
    <x v="1"/>
    <n v="49.99"/>
    <x v="2"/>
    <x v="2"/>
    <x v="2"/>
    <x v="1"/>
    <s v="N/A"/>
  </r>
  <r>
    <x v="706"/>
    <x v="220"/>
    <x v="5"/>
    <s v="emilychen@yahoo.com"/>
    <x v="0"/>
    <x v="0"/>
    <x v="1"/>
    <n v="15.99"/>
    <x v="2"/>
    <x v="2"/>
    <x v="0"/>
    <x v="2"/>
    <s v="N/A"/>
  </r>
  <r>
    <x v="707"/>
    <x v="276"/>
    <x v="6"/>
    <s v="sarahjohnson@email.com"/>
    <x v="2"/>
    <x v="2"/>
    <x v="4"/>
    <n v="79.989999999999995"/>
    <x v="19"/>
    <x v="1"/>
    <x v="0"/>
    <x v="0"/>
    <s v="N/A"/>
  </r>
  <r>
    <x v="708"/>
    <x v="290"/>
    <x v="0"/>
    <s v="johnsmith@email.com"/>
    <x v="2"/>
    <x v="2"/>
    <x v="4"/>
    <n v="79.989999999999995"/>
    <x v="19"/>
    <x v="2"/>
    <x v="0"/>
    <x v="0"/>
    <s v="N/A"/>
  </r>
  <r>
    <x v="709"/>
    <x v="168"/>
    <x v="3"/>
    <s v="alexkim@email.com"/>
    <x v="8"/>
    <x v="5"/>
    <x v="4"/>
    <n v="29.99"/>
    <x v="37"/>
    <x v="2"/>
    <x v="4"/>
    <x v="0"/>
    <s v="N/A"/>
  </r>
  <r>
    <x v="710"/>
    <x v="313"/>
    <x v="3"/>
    <s v="alexkim@gmail.com"/>
    <x v="4"/>
    <x v="1"/>
    <x v="3"/>
    <n v="14.99"/>
    <x v="4"/>
    <x v="3"/>
    <x v="2"/>
    <x v="0"/>
    <s v="N/A"/>
  </r>
  <r>
    <x v="711"/>
    <x v="187"/>
    <x v="3"/>
    <s v="alexkim@yahoo.com"/>
    <x v="6"/>
    <x v="4"/>
    <x v="1"/>
    <n v="4.99"/>
    <x v="2"/>
    <x v="2"/>
    <x v="1"/>
    <x v="0"/>
    <s v="N/A"/>
  </r>
  <r>
    <x v="712"/>
    <x v="314"/>
    <x v="5"/>
    <s v="emilychen@gmail.com"/>
    <x v="0"/>
    <x v="0"/>
    <x v="3"/>
    <n v="15.99"/>
    <x v="45"/>
    <x v="2"/>
    <x v="0"/>
    <x v="1"/>
    <s v="N/A"/>
  </r>
  <r>
    <x v="713"/>
    <x v="144"/>
    <x v="5"/>
    <s v="emilychen@yahoo.com"/>
    <x v="7"/>
    <x v="5"/>
    <x v="1"/>
    <n v="49.99"/>
    <x v="2"/>
    <x v="1"/>
    <x v="2"/>
    <x v="0"/>
    <s v="N/A"/>
  </r>
  <r>
    <x v="714"/>
    <x v="315"/>
    <x v="1"/>
    <s v="chrislee@email.com"/>
    <x v="2"/>
    <x v="2"/>
    <x v="3"/>
    <n v="79.989999999999995"/>
    <x v="29"/>
    <x v="1"/>
    <x v="1"/>
    <x v="2"/>
    <s v="N/A"/>
  </r>
  <r>
    <x v="715"/>
    <x v="163"/>
    <x v="5"/>
    <s v="emilychen@yahoo.com"/>
    <x v="0"/>
    <x v="0"/>
    <x v="4"/>
    <n v="15.99"/>
    <x v="9"/>
    <x v="3"/>
    <x v="1"/>
    <x v="2"/>
    <s v="N/A"/>
  </r>
  <r>
    <x v="716"/>
    <x v="15"/>
    <x v="5"/>
    <s v="emilychen@email.com"/>
    <x v="5"/>
    <x v="3"/>
    <x v="4"/>
    <n v="59.99"/>
    <x v="24"/>
    <x v="0"/>
    <x v="0"/>
    <x v="0"/>
    <s v="N/A"/>
  </r>
  <r>
    <x v="717"/>
    <x v="253"/>
    <x v="6"/>
    <s v="sarahjohnson@yahoo.com"/>
    <x v="6"/>
    <x v="4"/>
    <x v="4"/>
    <n v="4.99"/>
    <x v="36"/>
    <x v="3"/>
    <x v="2"/>
    <x v="1"/>
    <s v="N/A"/>
  </r>
  <r>
    <x v="718"/>
    <x v="7"/>
    <x v="2"/>
    <s v="janedoe@yahoo.com"/>
    <x v="1"/>
    <x v="1"/>
    <x v="0"/>
    <n v="99.99"/>
    <x v="1"/>
    <x v="2"/>
    <x v="0"/>
    <x v="1"/>
    <s v="N/A"/>
  </r>
  <r>
    <x v="719"/>
    <x v="7"/>
    <x v="6"/>
    <s v="sarahjohnson@gmail.com"/>
    <x v="3"/>
    <x v="0"/>
    <x v="1"/>
    <n v="39.99"/>
    <x v="2"/>
    <x v="3"/>
    <x v="1"/>
    <x v="0"/>
    <s v="N/A"/>
  </r>
  <r>
    <x v="720"/>
    <x v="241"/>
    <x v="6"/>
    <s v="sarahjohnson@email.com"/>
    <x v="0"/>
    <x v="0"/>
    <x v="5"/>
    <n v="15.99"/>
    <x v="40"/>
    <x v="2"/>
    <x v="0"/>
    <x v="0"/>
    <s v="N/A"/>
  </r>
  <r>
    <x v="721"/>
    <x v="146"/>
    <x v="0"/>
    <s v="johnsmith@yahoo.com"/>
    <x v="4"/>
    <x v="1"/>
    <x v="1"/>
    <n v="14.99"/>
    <x v="2"/>
    <x v="2"/>
    <x v="0"/>
    <x v="0"/>
    <s v="N/A"/>
  </r>
  <r>
    <x v="722"/>
    <x v="76"/>
    <x v="2"/>
    <s v="janedoe@yahoo.com"/>
    <x v="3"/>
    <x v="0"/>
    <x v="3"/>
    <n v="39.99"/>
    <x v="44"/>
    <x v="1"/>
    <x v="0"/>
    <x v="0"/>
    <s v="N/A"/>
  </r>
  <r>
    <x v="723"/>
    <x v="7"/>
    <x v="6"/>
    <s v="sarahjohnson@yahoo.com"/>
    <x v="7"/>
    <x v="5"/>
    <x v="5"/>
    <n v="49.99"/>
    <x v="32"/>
    <x v="3"/>
    <x v="2"/>
    <x v="0"/>
    <s v="N/A"/>
  </r>
  <r>
    <x v="724"/>
    <x v="165"/>
    <x v="5"/>
    <s v="emilychen@email.com"/>
    <x v="0"/>
    <x v="0"/>
    <x v="0"/>
    <n v="15.99"/>
    <x v="0"/>
    <x v="2"/>
    <x v="4"/>
    <x v="0"/>
    <s v="N/A"/>
  </r>
  <r>
    <x v="725"/>
    <x v="135"/>
    <x v="1"/>
    <s v="chrislee@yahoo.com"/>
    <x v="6"/>
    <x v="4"/>
    <x v="4"/>
    <n v="4.99"/>
    <x v="36"/>
    <x v="3"/>
    <x v="4"/>
    <x v="0"/>
    <s v="N/A"/>
  </r>
  <r>
    <x v="726"/>
    <x v="7"/>
    <x v="4"/>
    <s v="mikebrown@yahoo.com"/>
    <x v="3"/>
    <x v="0"/>
    <x v="4"/>
    <n v="39.99"/>
    <x v="14"/>
    <x v="2"/>
    <x v="0"/>
    <x v="0"/>
    <s v="N/A"/>
  </r>
  <r>
    <x v="727"/>
    <x v="133"/>
    <x v="0"/>
    <s v="N/A"/>
    <x v="1"/>
    <x v="1"/>
    <x v="3"/>
    <n v="99.99"/>
    <x v="12"/>
    <x v="2"/>
    <x v="2"/>
    <x v="0"/>
    <s v="N/A"/>
  </r>
  <r>
    <x v="728"/>
    <x v="271"/>
    <x v="4"/>
    <s v="mikebrown@yahoo.com"/>
    <x v="4"/>
    <x v="1"/>
    <x v="4"/>
    <n v="14.99"/>
    <x v="6"/>
    <x v="3"/>
    <x v="2"/>
    <x v="0"/>
    <s v="N/A"/>
  </r>
  <r>
    <x v="729"/>
    <x v="7"/>
    <x v="6"/>
    <s v="sarahjohnson@gmail.com"/>
    <x v="2"/>
    <x v="2"/>
    <x v="1"/>
    <n v="79.989999999999995"/>
    <x v="2"/>
    <x v="2"/>
    <x v="2"/>
    <x v="0"/>
    <s v="N/A"/>
  </r>
  <r>
    <x v="730"/>
    <x v="7"/>
    <x v="1"/>
    <s v="chrislee@gmail.com"/>
    <x v="2"/>
    <x v="2"/>
    <x v="2"/>
    <n v="79.989999999999995"/>
    <x v="39"/>
    <x v="0"/>
    <x v="3"/>
    <x v="0"/>
    <s v="N/A"/>
  </r>
  <r>
    <x v="731"/>
    <x v="273"/>
    <x v="6"/>
    <s v="sarahjohnson@gmail.com"/>
    <x v="1"/>
    <x v="1"/>
    <x v="4"/>
    <n v="99.99"/>
    <x v="22"/>
    <x v="2"/>
    <x v="4"/>
    <x v="0"/>
    <s v="N/A"/>
  </r>
  <r>
    <x v="732"/>
    <x v="315"/>
    <x v="2"/>
    <s v="janedoe@email.com"/>
    <x v="5"/>
    <x v="3"/>
    <x v="0"/>
    <n v="59.99"/>
    <x v="30"/>
    <x v="3"/>
    <x v="2"/>
    <x v="0"/>
    <s v="N/A"/>
  </r>
  <r>
    <x v="733"/>
    <x v="62"/>
    <x v="4"/>
    <s v="N/A"/>
    <x v="0"/>
    <x v="0"/>
    <x v="4"/>
    <n v="15.99"/>
    <x v="9"/>
    <x v="3"/>
    <x v="2"/>
    <x v="0"/>
    <s v="N/A"/>
  </r>
  <r>
    <x v="734"/>
    <x v="7"/>
    <x v="5"/>
    <s v="emilychen@yahoo.com"/>
    <x v="6"/>
    <x v="4"/>
    <x v="4"/>
    <n v="4.99"/>
    <x v="36"/>
    <x v="3"/>
    <x v="4"/>
    <x v="0"/>
    <s v="N/A"/>
  </r>
  <r>
    <x v="735"/>
    <x v="151"/>
    <x v="0"/>
    <s v="johnsmith@gmail.com"/>
    <x v="6"/>
    <x v="4"/>
    <x v="5"/>
    <n v="4.99"/>
    <x v="11"/>
    <x v="0"/>
    <x v="2"/>
    <x v="0"/>
    <s v="N/A"/>
  </r>
  <r>
    <x v="736"/>
    <x v="148"/>
    <x v="2"/>
    <s v="janedoe@gmail.com"/>
    <x v="1"/>
    <x v="1"/>
    <x v="0"/>
    <n v="99.99"/>
    <x v="1"/>
    <x v="2"/>
    <x v="0"/>
    <x v="0"/>
    <s v="N/A"/>
  </r>
  <r>
    <x v="737"/>
    <x v="7"/>
    <x v="2"/>
    <s v="janedoe@email.com"/>
    <x v="8"/>
    <x v="5"/>
    <x v="0"/>
    <n v="29.99"/>
    <x v="16"/>
    <x v="0"/>
    <x v="3"/>
    <x v="0"/>
    <s v="N/A"/>
  </r>
  <r>
    <x v="738"/>
    <x v="120"/>
    <x v="3"/>
    <s v="alexkim@gmail.com"/>
    <x v="5"/>
    <x v="3"/>
    <x v="2"/>
    <n v="59.99"/>
    <x v="17"/>
    <x v="1"/>
    <x v="0"/>
    <x v="1"/>
    <s v="N/A"/>
  </r>
  <r>
    <x v="739"/>
    <x v="313"/>
    <x v="5"/>
    <s v="emilychen@gmail.com"/>
    <x v="3"/>
    <x v="0"/>
    <x v="4"/>
    <n v="39.99"/>
    <x v="14"/>
    <x v="3"/>
    <x v="4"/>
    <x v="1"/>
    <s v="N/A"/>
  </r>
  <r>
    <x v="740"/>
    <x v="238"/>
    <x v="6"/>
    <s v="sarahjohnson@gmail.com"/>
    <x v="6"/>
    <x v="4"/>
    <x v="5"/>
    <n v="4.99"/>
    <x v="11"/>
    <x v="3"/>
    <x v="0"/>
    <x v="0"/>
    <s v="N/A"/>
  </r>
  <r>
    <x v="741"/>
    <x v="251"/>
    <x v="6"/>
    <s v="sarahjohnson@gmail.com"/>
    <x v="3"/>
    <x v="0"/>
    <x v="1"/>
    <n v="39.99"/>
    <x v="2"/>
    <x v="0"/>
    <x v="0"/>
    <x v="1"/>
    <s v="N/A"/>
  </r>
  <r>
    <x v="742"/>
    <x v="20"/>
    <x v="5"/>
    <s v="emilychen@yahoo.com"/>
    <x v="4"/>
    <x v="1"/>
    <x v="4"/>
    <n v="14.99"/>
    <x v="6"/>
    <x v="3"/>
    <x v="0"/>
    <x v="0"/>
    <s v="N/A"/>
  </r>
  <r>
    <x v="743"/>
    <x v="7"/>
    <x v="5"/>
    <s v="emilychen@yahoo.com"/>
    <x v="0"/>
    <x v="0"/>
    <x v="5"/>
    <n v="15.99"/>
    <x v="40"/>
    <x v="2"/>
    <x v="3"/>
    <x v="0"/>
    <s v="N/A"/>
  </r>
  <r>
    <x v="744"/>
    <x v="200"/>
    <x v="6"/>
    <s v="sarahjohnson@yahoo.com"/>
    <x v="4"/>
    <x v="1"/>
    <x v="4"/>
    <n v="14.99"/>
    <x v="6"/>
    <x v="1"/>
    <x v="3"/>
    <x v="0"/>
    <s v="N/A"/>
  </r>
  <r>
    <x v="745"/>
    <x v="316"/>
    <x v="2"/>
    <s v="janedoe@gmail.com"/>
    <x v="0"/>
    <x v="0"/>
    <x v="1"/>
    <n v="15.99"/>
    <x v="2"/>
    <x v="3"/>
    <x v="1"/>
    <x v="0"/>
    <s v="N/A"/>
  </r>
  <r>
    <x v="746"/>
    <x v="185"/>
    <x v="3"/>
    <s v="alexkim@email.com"/>
    <x v="3"/>
    <x v="0"/>
    <x v="2"/>
    <n v="39.99"/>
    <x v="3"/>
    <x v="2"/>
    <x v="0"/>
    <x v="2"/>
    <s v="N/A"/>
  </r>
  <r>
    <x v="747"/>
    <x v="249"/>
    <x v="3"/>
    <s v="alexkim@yahoo.com"/>
    <x v="1"/>
    <x v="1"/>
    <x v="1"/>
    <n v="99.99"/>
    <x v="2"/>
    <x v="2"/>
    <x v="0"/>
    <x v="1"/>
    <s v="N/A"/>
  </r>
  <r>
    <x v="748"/>
    <x v="49"/>
    <x v="1"/>
    <s v="chrislee@yahoo.com"/>
    <x v="1"/>
    <x v="1"/>
    <x v="0"/>
    <n v="99.99"/>
    <x v="1"/>
    <x v="2"/>
    <x v="0"/>
    <x v="0"/>
    <s v="N/A"/>
  </r>
  <r>
    <x v="749"/>
    <x v="209"/>
    <x v="1"/>
    <s v="chrislee@yahoo.com"/>
    <x v="3"/>
    <x v="0"/>
    <x v="2"/>
    <n v="39.99"/>
    <x v="3"/>
    <x v="3"/>
    <x v="1"/>
    <x v="0"/>
    <s v="N/A"/>
  </r>
  <r>
    <x v="750"/>
    <x v="317"/>
    <x v="1"/>
    <s v="chrislee@email.com"/>
    <x v="0"/>
    <x v="0"/>
    <x v="1"/>
    <n v="15.99"/>
    <x v="2"/>
    <x v="1"/>
    <x v="2"/>
    <x v="0"/>
    <s v="N/A"/>
  </r>
  <r>
    <x v="751"/>
    <x v="184"/>
    <x v="2"/>
    <s v="janedoe@yahoo.com"/>
    <x v="5"/>
    <x v="3"/>
    <x v="4"/>
    <n v="59.99"/>
    <x v="24"/>
    <x v="2"/>
    <x v="3"/>
    <x v="0"/>
    <s v="N/A"/>
  </r>
  <r>
    <x v="752"/>
    <x v="7"/>
    <x v="5"/>
    <s v="emilychen@email.com"/>
    <x v="4"/>
    <x v="1"/>
    <x v="3"/>
    <n v="14.99"/>
    <x v="4"/>
    <x v="3"/>
    <x v="3"/>
    <x v="0"/>
    <s v="N/A"/>
  </r>
  <r>
    <x v="753"/>
    <x v="318"/>
    <x v="1"/>
    <s v="chrislee@email.com"/>
    <x v="3"/>
    <x v="0"/>
    <x v="1"/>
    <n v="39.99"/>
    <x v="2"/>
    <x v="2"/>
    <x v="2"/>
    <x v="1"/>
    <s v="N/A"/>
  </r>
  <r>
    <x v="754"/>
    <x v="7"/>
    <x v="6"/>
    <s v="sarahjohnson@yahoo.com"/>
    <x v="0"/>
    <x v="0"/>
    <x v="1"/>
    <n v="15.99"/>
    <x v="2"/>
    <x v="2"/>
    <x v="3"/>
    <x v="0"/>
    <s v="N/A"/>
  </r>
  <r>
    <x v="755"/>
    <x v="7"/>
    <x v="1"/>
    <s v="chrislee@yahoo.com"/>
    <x v="5"/>
    <x v="3"/>
    <x v="1"/>
    <n v="59.99"/>
    <x v="2"/>
    <x v="2"/>
    <x v="2"/>
    <x v="2"/>
    <s v="N/A"/>
  </r>
  <r>
    <x v="756"/>
    <x v="319"/>
    <x v="3"/>
    <s v="alexkim@gmail.com"/>
    <x v="4"/>
    <x v="1"/>
    <x v="3"/>
    <n v="14.99"/>
    <x v="4"/>
    <x v="2"/>
    <x v="4"/>
    <x v="2"/>
    <s v="N/A"/>
  </r>
  <r>
    <x v="757"/>
    <x v="320"/>
    <x v="4"/>
    <s v="mikebrown@gmail.com"/>
    <x v="5"/>
    <x v="3"/>
    <x v="2"/>
    <n v="59.99"/>
    <x v="17"/>
    <x v="3"/>
    <x v="2"/>
    <x v="0"/>
    <s v="N/A"/>
  </r>
  <r>
    <x v="758"/>
    <x v="142"/>
    <x v="5"/>
    <s v="emilychen@gmail.com"/>
    <x v="8"/>
    <x v="5"/>
    <x v="2"/>
    <n v="29.99"/>
    <x v="31"/>
    <x v="2"/>
    <x v="4"/>
    <x v="0"/>
    <s v="N/A"/>
  </r>
  <r>
    <x v="759"/>
    <x v="7"/>
    <x v="5"/>
    <s v="emilychen@gmail.com"/>
    <x v="4"/>
    <x v="1"/>
    <x v="3"/>
    <n v="14.99"/>
    <x v="4"/>
    <x v="0"/>
    <x v="0"/>
    <x v="0"/>
    <s v="N/A"/>
  </r>
  <r>
    <x v="760"/>
    <x v="321"/>
    <x v="6"/>
    <s v="sarahjohnson@gmail.com"/>
    <x v="3"/>
    <x v="0"/>
    <x v="1"/>
    <n v="39.99"/>
    <x v="2"/>
    <x v="2"/>
    <x v="0"/>
    <x v="0"/>
    <s v="N/A"/>
  </r>
  <r>
    <x v="761"/>
    <x v="7"/>
    <x v="1"/>
    <s v="chrislee@gmail.com"/>
    <x v="4"/>
    <x v="1"/>
    <x v="3"/>
    <n v="14.99"/>
    <x v="4"/>
    <x v="2"/>
    <x v="4"/>
    <x v="0"/>
    <s v="N/A"/>
  </r>
  <r>
    <x v="762"/>
    <x v="322"/>
    <x v="5"/>
    <s v="N/A"/>
    <x v="7"/>
    <x v="5"/>
    <x v="0"/>
    <n v="49.99"/>
    <x v="20"/>
    <x v="2"/>
    <x v="3"/>
    <x v="0"/>
    <s v="N/A"/>
  </r>
  <r>
    <x v="763"/>
    <x v="7"/>
    <x v="0"/>
    <s v="johnsmith@gmail.com"/>
    <x v="2"/>
    <x v="2"/>
    <x v="4"/>
    <n v="79.989999999999995"/>
    <x v="19"/>
    <x v="1"/>
    <x v="4"/>
    <x v="0"/>
    <s v="N/A"/>
  </r>
  <r>
    <x v="764"/>
    <x v="7"/>
    <x v="4"/>
    <s v="mikebrown@yahoo.com"/>
    <x v="4"/>
    <x v="1"/>
    <x v="3"/>
    <n v="14.99"/>
    <x v="4"/>
    <x v="2"/>
    <x v="3"/>
    <x v="1"/>
    <s v="N/A"/>
  </r>
  <r>
    <x v="765"/>
    <x v="7"/>
    <x v="3"/>
    <s v="alexkim@yahoo.com"/>
    <x v="7"/>
    <x v="5"/>
    <x v="4"/>
    <n v="49.99"/>
    <x v="13"/>
    <x v="2"/>
    <x v="2"/>
    <x v="0"/>
    <s v="N/A"/>
  </r>
  <r>
    <x v="766"/>
    <x v="133"/>
    <x v="1"/>
    <s v="chrislee@email.com"/>
    <x v="7"/>
    <x v="5"/>
    <x v="4"/>
    <n v="49.99"/>
    <x v="13"/>
    <x v="1"/>
    <x v="1"/>
    <x v="2"/>
    <s v="N/A"/>
  </r>
  <r>
    <x v="767"/>
    <x v="4"/>
    <x v="7"/>
    <s v="emilychen@gmail.com"/>
    <x v="7"/>
    <x v="5"/>
    <x v="4"/>
    <n v="49.99"/>
    <x v="13"/>
    <x v="3"/>
    <x v="2"/>
    <x v="0"/>
    <s v="N/A"/>
  </r>
  <r>
    <x v="768"/>
    <x v="157"/>
    <x v="6"/>
    <s v="sarahjohnson@yahoo.com"/>
    <x v="0"/>
    <x v="0"/>
    <x v="3"/>
    <n v="15.99"/>
    <x v="45"/>
    <x v="0"/>
    <x v="0"/>
    <x v="0"/>
    <s v="N/A"/>
  </r>
  <r>
    <x v="769"/>
    <x v="7"/>
    <x v="5"/>
    <s v="emilychen@gmail.com"/>
    <x v="7"/>
    <x v="5"/>
    <x v="1"/>
    <n v="49.99"/>
    <x v="2"/>
    <x v="1"/>
    <x v="4"/>
    <x v="0"/>
    <s v="N/A"/>
  </r>
  <r>
    <x v="770"/>
    <x v="323"/>
    <x v="5"/>
    <s v="emilychen@gmail.com"/>
    <x v="1"/>
    <x v="1"/>
    <x v="3"/>
    <n v="99.99"/>
    <x v="12"/>
    <x v="2"/>
    <x v="1"/>
    <x v="0"/>
    <s v="N/A"/>
  </r>
  <r>
    <x v="771"/>
    <x v="324"/>
    <x v="0"/>
    <s v="johnsmith@gmail.com"/>
    <x v="8"/>
    <x v="5"/>
    <x v="5"/>
    <n v="29.99"/>
    <x v="26"/>
    <x v="0"/>
    <x v="2"/>
    <x v="2"/>
    <s v="N/A"/>
  </r>
  <r>
    <x v="772"/>
    <x v="325"/>
    <x v="5"/>
    <s v="emilychen@yahoo.com"/>
    <x v="7"/>
    <x v="5"/>
    <x v="2"/>
    <n v="49.99"/>
    <x v="43"/>
    <x v="0"/>
    <x v="0"/>
    <x v="0"/>
    <s v="N/A"/>
  </r>
  <r>
    <x v="773"/>
    <x v="168"/>
    <x v="7"/>
    <s v="emilychen@yahoo.com"/>
    <x v="5"/>
    <x v="3"/>
    <x v="4"/>
    <n v="59.99"/>
    <x v="24"/>
    <x v="1"/>
    <x v="0"/>
    <x v="2"/>
    <s v="N/A"/>
  </r>
  <r>
    <x v="774"/>
    <x v="7"/>
    <x v="5"/>
    <s v="emilychen@email.com"/>
    <x v="2"/>
    <x v="2"/>
    <x v="4"/>
    <n v="79.989999999999995"/>
    <x v="19"/>
    <x v="2"/>
    <x v="2"/>
    <x v="0"/>
    <s v="N/A"/>
  </r>
  <r>
    <x v="775"/>
    <x v="326"/>
    <x v="0"/>
    <s v="johnsmith@yahoo.com"/>
    <x v="8"/>
    <x v="5"/>
    <x v="3"/>
    <n v="29.99"/>
    <x v="28"/>
    <x v="2"/>
    <x v="3"/>
    <x v="1"/>
    <s v="N/A"/>
  </r>
  <r>
    <x v="776"/>
    <x v="327"/>
    <x v="6"/>
    <s v="N/A"/>
    <x v="2"/>
    <x v="2"/>
    <x v="2"/>
    <n v="79.989999999999995"/>
    <x v="39"/>
    <x v="0"/>
    <x v="0"/>
    <x v="0"/>
    <s v="N/A"/>
  </r>
  <r>
    <x v="777"/>
    <x v="328"/>
    <x v="0"/>
    <s v="johnsmith@email.com"/>
    <x v="8"/>
    <x v="5"/>
    <x v="2"/>
    <n v="29.99"/>
    <x v="31"/>
    <x v="2"/>
    <x v="0"/>
    <x v="0"/>
    <s v="N/A"/>
  </r>
  <r>
    <x v="778"/>
    <x v="58"/>
    <x v="1"/>
    <s v="chrislee@gmail.com"/>
    <x v="0"/>
    <x v="0"/>
    <x v="4"/>
    <n v="15.99"/>
    <x v="9"/>
    <x v="2"/>
    <x v="0"/>
    <x v="1"/>
    <s v="N/A"/>
  </r>
  <r>
    <x v="779"/>
    <x v="7"/>
    <x v="3"/>
    <s v="alexkim@email.com"/>
    <x v="6"/>
    <x v="4"/>
    <x v="1"/>
    <n v="4.99"/>
    <x v="2"/>
    <x v="1"/>
    <x v="1"/>
    <x v="0"/>
    <s v="N/A"/>
  </r>
  <r>
    <x v="780"/>
    <x v="7"/>
    <x v="3"/>
    <s v="alexkim@email.com"/>
    <x v="4"/>
    <x v="1"/>
    <x v="2"/>
    <n v="14.99"/>
    <x v="33"/>
    <x v="2"/>
    <x v="1"/>
    <x v="0"/>
    <s v="N/A"/>
  </r>
  <r>
    <x v="781"/>
    <x v="125"/>
    <x v="4"/>
    <s v="mikebrown@gmail.com"/>
    <x v="3"/>
    <x v="0"/>
    <x v="5"/>
    <n v="39.99"/>
    <x v="34"/>
    <x v="2"/>
    <x v="1"/>
    <x v="0"/>
    <s v="N/A"/>
  </r>
  <r>
    <x v="782"/>
    <x v="7"/>
    <x v="5"/>
    <s v="emilychen@email.com"/>
    <x v="5"/>
    <x v="3"/>
    <x v="1"/>
    <n v="59.99"/>
    <x v="2"/>
    <x v="0"/>
    <x v="3"/>
    <x v="0"/>
    <s v="N/A"/>
  </r>
  <r>
    <x v="783"/>
    <x v="187"/>
    <x v="2"/>
    <s v="janedoe@email.com"/>
    <x v="1"/>
    <x v="1"/>
    <x v="1"/>
    <n v="99.99"/>
    <x v="2"/>
    <x v="3"/>
    <x v="2"/>
    <x v="0"/>
    <s v="N/A"/>
  </r>
  <r>
    <x v="784"/>
    <x v="325"/>
    <x v="1"/>
    <s v="chrislee@yahoo.com"/>
    <x v="2"/>
    <x v="2"/>
    <x v="3"/>
    <n v="79.989999999999995"/>
    <x v="29"/>
    <x v="2"/>
    <x v="2"/>
    <x v="0"/>
    <s v="check"/>
  </r>
  <r>
    <x v="785"/>
    <x v="329"/>
    <x v="7"/>
    <s v="johnsmith@email.com"/>
    <x v="3"/>
    <x v="0"/>
    <x v="1"/>
    <n v="39.99"/>
    <x v="2"/>
    <x v="0"/>
    <x v="1"/>
    <x v="0"/>
    <s v="N/A"/>
  </r>
  <r>
    <x v="786"/>
    <x v="7"/>
    <x v="2"/>
    <s v="N/A"/>
    <x v="7"/>
    <x v="5"/>
    <x v="0"/>
    <n v="49.99"/>
    <x v="20"/>
    <x v="1"/>
    <x v="4"/>
    <x v="0"/>
    <s v="N/A"/>
  </r>
  <r>
    <x v="787"/>
    <x v="60"/>
    <x v="6"/>
    <s v="sarahjohnson@yahoo.com"/>
    <x v="6"/>
    <x v="4"/>
    <x v="0"/>
    <n v="4.99"/>
    <x v="35"/>
    <x v="1"/>
    <x v="0"/>
    <x v="0"/>
    <s v="N/A"/>
  </r>
  <r>
    <x v="788"/>
    <x v="330"/>
    <x v="3"/>
    <s v="N/A"/>
    <x v="2"/>
    <x v="2"/>
    <x v="4"/>
    <n v="79.989999999999995"/>
    <x v="19"/>
    <x v="0"/>
    <x v="2"/>
    <x v="0"/>
    <s v="N/A"/>
  </r>
  <r>
    <x v="789"/>
    <x v="312"/>
    <x v="4"/>
    <s v="mikebrown@gmail.com"/>
    <x v="0"/>
    <x v="0"/>
    <x v="5"/>
    <n v="15.99"/>
    <x v="40"/>
    <x v="0"/>
    <x v="4"/>
    <x v="0"/>
    <s v="N/A"/>
  </r>
  <r>
    <x v="790"/>
    <x v="331"/>
    <x v="7"/>
    <s v="sarahjohnson@email.com"/>
    <x v="2"/>
    <x v="2"/>
    <x v="3"/>
    <n v="79.989999999999995"/>
    <x v="29"/>
    <x v="2"/>
    <x v="1"/>
    <x v="2"/>
    <s v="check"/>
  </r>
  <r>
    <x v="791"/>
    <x v="7"/>
    <x v="1"/>
    <s v="chrislee@email.com"/>
    <x v="4"/>
    <x v="1"/>
    <x v="4"/>
    <n v="14.99"/>
    <x v="6"/>
    <x v="3"/>
    <x v="0"/>
    <x v="2"/>
    <s v="N/A"/>
  </r>
  <r>
    <x v="792"/>
    <x v="7"/>
    <x v="4"/>
    <s v="mikebrown@yahoo.com"/>
    <x v="4"/>
    <x v="1"/>
    <x v="5"/>
    <n v="14.99"/>
    <x v="15"/>
    <x v="3"/>
    <x v="0"/>
    <x v="0"/>
    <s v="N/A"/>
  </r>
  <r>
    <x v="793"/>
    <x v="7"/>
    <x v="3"/>
    <s v="alexkim@yahoo.com"/>
    <x v="3"/>
    <x v="0"/>
    <x v="0"/>
    <n v="39.99"/>
    <x v="10"/>
    <x v="1"/>
    <x v="2"/>
    <x v="1"/>
    <s v="N/A"/>
  </r>
  <r>
    <x v="794"/>
    <x v="7"/>
    <x v="4"/>
    <s v="mikebrown@yahoo.com"/>
    <x v="5"/>
    <x v="3"/>
    <x v="2"/>
    <n v="59.99"/>
    <x v="17"/>
    <x v="1"/>
    <x v="2"/>
    <x v="2"/>
    <s v="N/A"/>
  </r>
  <r>
    <x v="795"/>
    <x v="7"/>
    <x v="4"/>
    <s v="mikebrown@yahoo.com"/>
    <x v="5"/>
    <x v="3"/>
    <x v="0"/>
    <n v="59.99"/>
    <x v="30"/>
    <x v="0"/>
    <x v="2"/>
    <x v="2"/>
    <s v="N/A"/>
  </r>
  <r>
    <x v="796"/>
    <x v="332"/>
    <x v="4"/>
    <s v="mikebrown@email.com"/>
    <x v="6"/>
    <x v="4"/>
    <x v="1"/>
    <n v="4.99"/>
    <x v="2"/>
    <x v="1"/>
    <x v="2"/>
    <x v="0"/>
    <s v="N/A"/>
  </r>
  <r>
    <x v="797"/>
    <x v="7"/>
    <x v="0"/>
    <s v="johnsmith@email.com"/>
    <x v="7"/>
    <x v="5"/>
    <x v="0"/>
    <n v="49.99"/>
    <x v="20"/>
    <x v="2"/>
    <x v="4"/>
    <x v="0"/>
    <s v="N/A"/>
  </r>
  <r>
    <x v="798"/>
    <x v="76"/>
    <x v="4"/>
    <s v="mikebrown@yahoo.com"/>
    <x v="4"/>
    <x v="1"/>
    <x v="1"/>
    <n v="14.99"/>
    <x v="2"/>
    <x v="0"/>
    <x v="2"/>
    <x v="0"/>
    <s v="N/A"/>
  </r>
  <r>
    <x v="799"/>
    <x v="333"/>
    <x v="2"/>
    <s v="janedoe@yahoo.com"/>
    <x v="5"/>
    <x v="3"/>
    <x v="5"/>
    <n v="59.99"/>
    <x v="38"/>
    <x v="2"/>
    <x v="2"/>
    <x v="1"/>
    <s v="N/A"/>
  </r>
  <r>
    <x v="800"/>
    <x v="309"/>
    <x v="2"/>
    <s v="janedoe@email.com"/>
    <x v="1"/>
    <x v="1"/>
    <x v="3"/>
    <n v="99.99"/>
    <x v="12"/>
    <x v="0"/>
    <x v="0"/>
    <x v="0"/>
    <s v="N/A"/>
  </r>
  <r>
    <x v="801"/>
    <x v="177"/>
    <x v="0"/>
    <s v="johnsmith@yahoo.com"/>
    <x v="6"/>
    <x v="4"/>
    <x v="5"/>
    <n v="4.99"/>
    <x v="11"/>
    <x v="2"/>
    <x v="1"/>
    <x v="0"/>
    <s v="N/A"/>
  </r>
  <r>
    <x v="802"/>
    <x v="34"/>
    <x v="3"/>
    <s v="alexkim@email.com"/>
    <x v="3"/>
    <x v="0"/>
    <x v="3"/>
    <n v="39.99"/>
    <x v="44"/>
    <x v="1"/>
    <x v="0"/>
    <x v="0"/>
    <s v="N/A"/>
  </r>
  <r>
    <x v="803"/>
    <x v="67"/>
    <x v="4"/>
    <s v="mikebrown@yahoo.com"/>
    <x v="3"/>
    <x v="0"/>
    <x v="0"/>
    <n v="39.99"/>
    <x v="10"/>
    <x v="1"/>
    <x v="1"/>
    <x v="1"/>
    <s v="N/A"/>
  </r>
  <r>
    <x v="804"/>
    <x v="261"/>
    <x v="2"/>
    <s v="janedoe@gmail.com"/>
    <x v="1"/>
    <x v="1"/>
    <x v="1"/>
    <n v="99.99"/>
    <x v="2"/>
    <x v="2"/>
    <x v="0"/>
    <x v="0"/>
    <s v="N/A"/>
  </r>
  <r>
    <x v="805"/>
    <x v="334"/>
    <x v="2"/>
    <s v="janedoe@gmail.com"/>
    <x v="8"/>
    <x v="5"/>
    <x v="4"/>
    <n v="29.99"/>
    <x v="37"/>
    <x v="2"/>
    <x v="1"/>
    <x v="1"/>
    <s v="N/A"/>
  </r>
  <r>
    <x v="806"/>
    <x v="7"/>
    <x v="0"/>
    <s v="N/A"/>
    <x v="6"/>
    <x v="4"/>
    <x v="4"/>
    <n v="4.99"/>
    <x v="36"/>
    <x v="2"/>
    <x v="3"/>
    <x v="0"/>
    <s v="N/A"/>
  </r>
  <r>
    <x v="807"/>
    <x v="332"/>
    <x v="0"/>
    <s v="johnsmith@yahoo.com"/>
    <x v="6"/>
    <x v="4"/>
    <x v="3"/>
    <n v="4.99"/>
    <x v="21"/>
    <x v="2"/>
    <x v="2"/>
    <x v="1"/>
    <s v="N/A"/>
  </r>
  <r>
    <x v="808"/>
    <x v="335"/>
    <x v="4"/>
    <s v="mikebrown@yahoo.com"/>
    <x v="6"/>
    <x v="4"/>
    <x v="0"/>
    <n v="4.99"/>
    <x v="35"/>
    <x v="3"/>
    <x v="2"/>
    <x v="2"/>
    <s v="N/A"/>
  </r>
  <r>
    <x v="809"/>
    <x v="336"/>
    <x v="3"/>
    <s v="N/A"/>
    <x v="1"/>
    <x v="1"/>
    <x v="5"/>
    <n v="99.99"/>
    <x v="18"/>
    <x v="2"/>
    <x v="0"/>
    <x v="0"/>
    <s v="N/A"/>
  </r>
  <r>
    <x v="810"/>
    <x v="7"/>
    <x v="6"/>
    <s v="sarahjohnson@gmail.com"/>
    <x v="1"/>
    <x v="1"/>
    <x v="5"/>
    <n v="99.99"/>
    <x v="18"/>
    <x v="3"/>
    <x v="1"/>
    <x v="0"/>
    <s v="N/A"/>
  </r>
  <r>
    <x v="811"/>
    <x v="125"/>
    <x v="6"/>
    <s v="sarahjohnson@email.com"/>
    <x v="8"/>
    <x v="5"/>
    <x v="1"/>
    <n v="29.99"/>
    <x v="2"/>
    <x v="1"/>
    <x v="4"/>
    <x v="1"/>
    <s v="N/A"/>
  </r>
  <r>
    <x v="812"/>
    <x v="141"/>
    <x v="3"/>
    <s v="alexkim@yahoo.com"/>
    <x v="1"/>
    <x v="1"/>
    <x v="5"/>
    <n v="99.99"/>
    <x v="18"/>
    <x v="2"/>
    <x v="3"/>
    <x v="0"/>
    <s v="N/A"/>
  </r>
  <r>
    <x v="813"/>
    <x v="7"/>
    <x v="1"/>
    <s v="chrislee@gmail.com"/>
    <x v="8"/>
    <x v="5"/>
    <x v="3"/>
    <n v="29.99"/>
    <x v="28"/>
    <x v="3"/>
    <x v="2"/>
    <x v="2"/>
    <s v="check"/>
  </r>
  <r>
    <x v="814"/>
    <x v="101"/>
    <x v="6"/>
    <s v="sarahjohnson@yahoo.com"/>
    <x v="7"/>
    <x v="5"/>
    <x v="5"/>
    <n v="49.99"/>
    <x v="32"/>
    <x v="2"/>
    <x v="0"/>
    <x v="1"/>
    <s v="N/A"/>
  </r>
  <r>
    <x v="815"/>
    <x v="151"/>
    <x v="5"/>
    <s v="emilychen@yahoo.com"/>
    <x v="4"/>
    <x v="1"/>
    <x v="4"/>
    <n v="14.99"/>
    <x v="6"/>
    <x v="2"/>
    <x v="2"/>
    <x v="0"/>
    <s v="check"/>
  </r>
  <r>
    <x v="816"/>
    <x v="64"/>
    <x v="0"/>
    <s v="johnsmith@yahoo.com"/>
    <x v="3"/>
    <x v="0"/>
    <x v="5"/>
    <n v="39.99"/>
    <x v="34"/>
    <x v="2"/>
    <x v="2"/>
    <x v="0"/>
    <s v="N/A"/>
  </r>
  <r>
    <x v="817"/>
    <x v="117"/>
    <x v="0"/>
    <s v="johnsmith@yahoo.com"/>
    <x v="2"/>
    <x v="2"/>
    <x v="5"/>
    <n v="79.989999999999995"/>
    <x v="23"/>
    <x v="2"/>
    <x v="0"/>
    <x v="2"/>
    <s v="N/A"/>
  </r>
  <r>
    <x v="818"/>
    <x v="337"/>
    <x v="3"/>
    <s v="alexkim@gmail.com"/>
    <x v="8"/>
    <x v="5"/>
    <x v="0"/>
    <n v="29.99"/>
    <x v="16"/>
    <x v="0"/>
    <x v="2"/>
    <x v="2"/>
    <s v="N/A"/>
  </r>
  <r>
    <x v="819"/>
    <x v="7"/>
    <x v="0"/>
    <s v="johnsmith@email.com"/>
    <x v="6"/>
    <x v="4"/>
    <x v="4"/>
    <n v="4.99"/>
    <x v="36"/>
    <x v="2"/>
    <x v="2"/>
    <x v="0"/>
    <s v="N/A"/>
  </r>
  <r>
    <x v="820"/>
    <x v="287"/>
    <x v="1"/>
    <s v="chrislee@gmail.com"/>
    <x v="3"/>
    <x v="0"/>
    <x v="0"/>
    <n v="39.99"/>
    <x v="10"/>
    <x v="2"/>
    <x v="0"/>
    <x v="0"/>
    <s v="N/A"/>
  </r>
  <r>
    <x v="821"/>
    <x v="196"/>
    <x v="1"/>
    <s v="chrislee@yahoo.com"/>
    <x v="8"/>
    <x v="5"/>
    <x v="4"/>
    <n v="29.99"/>
    <x v="37"/>
    <x v="1"/>
    <x v="4"/>
    <x v="0"/>
    <s v="N/A"/>
  </r>
  <r>
    <x v="822"/>
    <x v="190"/>
    <x v="6"/>
    <s v="sarahjohnson@email.com"/>
    <x v="3"/>
    <x v="0"/>
    <x v="5"/>
    <n v="39.99"/>
    <x v="34"/>
    <x v="2"/>
    <x v="2"/>
    <x v="0"/>
    <s v="N/A"/>
  </r>
  <r>
    <x v="823"/>
    <x v="7"/>
    <x v="3"/>
    <s v="alexkim@gmail.com"/>
    <x v="5"/>
    <x v="3"/>
    <x v="4"/>
    <n v="59.99"/>
    <x v="24"/>
    <x v="3"/>
    <x v="2"/>
    <x v="0"/>
    <s v="N/A"/>
  </r>
  <r>
    <x v="824"/>
    <x v="7"/>
    <x v="5"/>
    <s v="emilychen@yahoo.com"/>
    <x v="7"/>
    <x v="5"/>
    <x v="4"/>
    <n v="49.99"/>
    <x v="13"/>
    <x v="2"/>
    <x v="0"/>
    <x v="2"/>
    <s v="check"/>
  </r>
  <r>
    <x v="825"/>
    <x v="262"/>
    <x v="4"/>
    <s v="mikebrown@gmail.com"/>
    <x v="5"/>
    <x v="3"/>
    <x v="0"/>
    <n v="59.99"/>
    <x v="30"/>
    <x v="3"/>
    <x v="0"/>
    <x v="0"/>
    <s v="N/A"/>
  </r>
  <r>
    <x v="826"/>
    <x v="226"/>
    <x v="6"/>
    <s v="sarahjohnson@yahoo.com"/>
    <x v="0"/>
    <x v="0"/>
    <x v="5"/>
    <n v="15.99"/>
    <x v="40"/>
    <x v="3"/>
    <x v="1"/>
    <x v="1"/>
    <s v="N/A"/>
  </r>
  <r>
    <x v="827"/>
    <x v="7"/>
    <x v="6"/>
    <s v="sarahjohnson@email.com"/>
    <x v="7"/>
    <x v="5"/>
    <x v="4"/>
    <n v="49.99"/>
    <x v="13"/>
    <x v="3"/>
    <x v="2"/>
    <x v="2"/>
    <s v="N/A"/>
  </r>
  <r>
    <x v="828"/>
    <x v="7"/>
    <x v="5"/>
    <s v="emilychen@yahoo.com"/>
    <x v="1"/>
    <x v="1"/>
    <x v="4"/>
    <n v="99.99"/>
    <x v="22"/>
    <x v="2"/>
    <x v="2"/>
    <x v="0"/>
    <s v="N/A"/>
  </r>
  <r>
    <x v="829"/>
    <x v="138"/>
    <x v="3"/>
    <s v="alexkim@email.com"/>
    <x v="5"/>
    <x v="3"/>
    <x v="2"/>
    <n v="59.99"/>
    <x v="17"/>
    <x v="2"/>
    <x v="1"/>
    <x v="1"/>
    <s v="N/A"/>
  </r>
  <r>
    <x v="830"/>
    <x v="7"/>
    <x v="3"/>
    <s v="alexkim@yahoo.com"/>
    <x v="0"/>
    <x v="0"/>
    <x v="3"/>
    <n v="15.99"/>
    <x v="45"/>
    <x v="3"/>
    <x v="0"/>
    <x v="2"/>
    <s v="N/A"/>
  </r>
  <r>
    <x v="831"/>
    <x v="338"/>
    <x v="0"/>
    <s v="johnsmith@email.com"/>
    <x v="4"/>
    <x v="1"/>
    <x v="3"/>
    <n v="14.99"/>
    <x v="4"/>
    <x v="2"/>
    <x v="2"/>
    <x v="0"/>
    <s v="check"/>
  </r>
  <r>
    <x v="832"/>
    <x v="129"/>
    <x v="2"/>
    <s v="janedoe@email.com"/>
    <x v="4"/>
    <x v="1"/>
    <x v="4"/>
    <n v="14.99"/>
    <x v="6"/>
    <x v="2"/>
    <x v="2"/>
    <x v="0"/>
    <s v="N/A"/>
  </r>
  <r>
    <x v="833"/>
    <x v="105"/>
    <x v="1"/>
    <s v="N/A"/>
    <x v="8"/>
    <x v="5"/>
    <x v="3"/>
    <n v="29.99"/>
    <x v="28"/>
    <x v="3"/>
    <x v="0"/>
    <x v="2"/>
    <s v="N/A"/>
  </r>
  <r>
    <x v="834"/>
    <x v="339"/>
    <x v="1"/>
    <s v="chrislee@gmail.com"/>
    <x v="5"/>
    <x v="3"/>
    <x v="4"/>
    <n v="59.99"/>
    <x v="24"/>
    <x v="2"/>
    <x v="2"/>
    <x v="1"/>
    <s v="N/A"/>
  </r>
  <r>
    <x v="835"/>
    <x v="7"/>
    <x v="4"/>
    <s v="mikebrown@email.com"/>
    <x v="1"/>
    <x v="1"/>
    <x v="2"/>
    <n v="99.99"/>
    <x v="27"/>
    <x v="2"/>
    <x v="0"/>
    <x v="0"/>
    <s v="N/A"/>
  </r>
  <r>
    <x v="836"/>
    <x v="7"/>
    <x v="4"/>
    <s v="mikebrown@gmail.com"/>
    <x v="5"/>
    <x v="3"/>
    <x v="0"/>
    <n v="59.99"/>
    <x v="30"/>
    <x v="0"/>
    <x v="2"/>
    <x v="0"/>
    <s v="N/A"/>
  </r>
  <r>
    <x v="837"/>
    <x v="7"/>
    <x v="6"/>
    <s v="sarahjohnson@yahoo.com"/>
    <x v="0"/>
    <x v="0"/>
    <x v="4"/>
    <n v="15.99"/>
    <x v="9"/>
    <x v="2"/>
    <x v="4"/>
    <x v="1"/>
    <s v="N/A"/>
  </r>
  <r>
    <x v="838"/>
    <x v="128"/>
    <x v="4"/>
    <s v="mikebrown@email.com"/>
    <x v="6"/>
    <x v="4"/>
    <x v="1"/>
    <n v="4.99"/>
    <x v="2"/>
    <x v="2"/>
    <x v="2"/>
    <x v="2"/>
    <s v="N/A"/>
  </r>
  <r>
    <x v="839"/>
    <x v="7"/>
    <x v="4"/>
    <s v="mikebrown@yahoo.com"/>
    <x v="0"/>
    <x v="0"/>
    <x v="1"/>
    <n v="15.99"/>
    <x v="2"/>
    <x v="0"/>
    <x v="0"/>
    <x v="2"/>
    <s v="N/A"/>
  </r>
  <r>
    <x v="840"/>
    <x v="196"/>
    <x v="5"/>
    <s v="emilychen@gmail.com"/>
    <x v="5"/>
    <x v="3"/>
    <x v="1"/>
    <n v="59.99"/>
    <x v="2"/>
    <x v="2"/>
    <x v="1"/>
    <x v="0"/>
    <s v="N/A"/>
  </r>
  <r>
    <x v="841"/>
    <x v="181"/>
    <x v="5"/>
    <s v="emilychen@gmail.com"/>
    <x v="8"/>
    <x v="5"/>
    <x v="1"/>
    <n v="29.99"/>
    <x v="2"/>
    <x v="2"/>
    <x v="0"/>
    <x v="1"/>
    <s v="check"/>
  </r>
  <r>
    <x v="842"/>
    <x v="33"/>
    <x v="4"/>
    <s v="mikebrown@gmail.com"/>
    <x v="5"/>
    <x v="3"/>
    <x v="5"/>
    <n v="59.99"/>
    <x v="38"/>
    <x v="2"/>
    <x v="3"/>
    <x v="2"/>
    <s v="N/A"/>
  </r>
  <r>
    <x v="843"/>
    <x v="7"/>
    <x v="7"/>
    <s v="johnsmith@email.com"/>
    <x v="0"/>
    <x v="0"/>
    <x v="2"/>
    <n v="15.99"/>
    <x v="42"/>
    <x v="2"/>
    <x v="0"/>
    <x v="1"/>
    <s v="N/A"/>
  </r>
  <r>
    <x v="844"/>
    <x v="191"/>
    <x v="7"/>
    <s v="emilychen@gmail.com"/>
    <x v="5"/>
    <x v="3"/>
    <x v="4"/>
    <n v="59.99"/>
    <x v="24"/>
    <x v="3"/>
    <x v="0"/>
    <x v="0"/>
    <s v="N/A"/>
  </r>
  <r>
    <x v="845"/>
    <x v="340"/>
    <x v="4"/>
    <s v="mikebrown@email.com"/>
    <x v="0"/>
    <x v="0"/>
    <x v="0"/>
    <n v="15.99"/>
    <x v="0"/>
    <x v="2"/>
    <x v="3"/>
    <x v="0"/>
    <s v="check"/>
  </r>
  <r>
    <x v="846"/>
    <x v="14"/>
    <x v="1"/>
    <s v="chrislee@gmail.com"/>
    <x v="0"/>
    <x v="0"/>
    <x v="1"/>
    <n v="15.99"/>
    <x v="2"/>
    <x v="2"/>
    <x v="2"/>
    <x v="0"/>
    <s v="N/A"/>
  </r>
  <r>
    <x v="847"/>
    <x v="125"/>
    <x v="4"/>
    <s v="mikebrown@email.com"/>
    <x v="5"/>
    <x v="3"/>
    <x v="3"/>
    <n v="59.99"/>
    <x v="5"/>
    <x v="3"/>
    <x v="3"/>
    <x v="1"/>
    <s v="N/A"/>
  </r>
  <r>
    <x v="848"/>
    <x v="341"/>
    <x v="2"/>
    <s v="janedoe@gmail.com"/>
    <x v="7"/>
    <x v="5"/>
    <x v="3"/>
    <n v="49.99"/>
    <x v="8"/>
    <x v="2"/>
    <x v="0"/>
    <x v="0"/>
    <s v="N/A"/>
  </r>
  <r>
    <x v="849"/>
    <x v="7"/>
    <x v="5"/>
    <s v="N/A"/>
    <x v="0"/>
    <x v="0"/>
    <x v="1"/>
    <n v="15.99"/>
    <x v="2"/>
    <x v="2"/>
    <x v="0"/>
    <x v="0"/>
    <s v="N/A"/>
  </r>
  <r>
    <x v="850"/>
    <x v="296"/>
    <x v="5"/>
    <s v="emilychen@email.com"/>
    <x v="1"/>
    <x v="1"/>
    <x v="3"/>
    <n v="99.99"/>
    <x v="12"/>
    <x v="2"/>
    <x v="3"/>
    <x v="1"/>
    <s v="N/A"/>
  </r>
  <r>
    <x v="851"/>
    <x v="308"/>
    <x v="2"/>
    <s v="janedoe@gmail.com"/>
    <x v="4"/>
    <x v="1"/>
    <x v="0"/>
    <n v="14.99"/>
    <x v="25"/>
    <x v="1"/>
    <x v="0"/>
    <x v="0"/>
    <s v="N/A"/>
  </r>
  <r>
    <x v="852"/>
    <x v="341"/>
    <x v="6"/>
    <s v="sarahjohnson@yahoo.com"/>
    <x v="0"/>
    <x v="0"/>
    <x v="1"/>
    <n v="15.99"/>
    <x v="2"/>
    <x v="2"/>
    <x v="1"/>
    <x v="0"/>
    <s v="N/A"/>
  </r>
  <r>
    <x v="853"/>
    <x v="243"/>
    <x v="5"/>
    <s v="emilychen@email.com"/>
    <x v="1"/>
    <x v="1"/>
    <x v="4"/>
    <n v="99.99"/>
    <x v="22"/>
    <x v="2"/>
    <x v="2"/>
    <x v="1"/>
    <s v="N/A"/>
  </r>
  <r>
    <x v="854"/>
    <x v="342"/>
    <x v="4"/>
    <s v="mikebrown@yahoo.com"/>
    <x v="6"/>
    <x v="4"/>
    <x v="4"/>
    <n v="4.99"/>
    <x v="36"/>
    <x v="2"/>
    <x v="0"/>
    <x v="1"/>
    <s v="N/A"/>
  </r>
  <r>
    <x v="855"/>
    <x v="118"/>
    <x v="3"/>
    <s v="alexkim@email.com"/>
    <x v="6"/>
    <x v="4"/>
    <x v="2"/>
    <n v="4.99"/>
    <x v="41"/>
    <x v="2"/>
    <x v="3"/>
    <x v="0"/>
    <s v="N/A"/>
  </r>
  <r>
    <x v="856"/>
    <x v="193"/>
    <x v="3"/>
    <s v="N/A"/>
    <x v="4"/>
    <x v="1"/>
    <x v="1"/>
    <n v="14.99"/>
    <x v="2"/>
    <x v="0"/>
    <x v="2"/>
    <x v="0"/>
    <s v="N/A"/>
  </r>
  <r>
    <x v="857"/>
    <x v="178"/>
    <x v="1"/>
    <s v="N/A"/>
    <x v="0"/>
    <x v="0"/>
    <x v="4"/>
    <n v="15.99"/>
    <x v="9"/>
    <x v="0"/>
    <x v="0"/>
    <x v="0"/>
    <s v="N/A"/>
  </r>
  <r>
    <x v="858"/>
    <x v="203"/>
    <x v="2"/>
    <s v="janedoe@yahoo.com"/>
    <x v="1"/>
    <x v="1"/>
    <x v="0"/>
    <n v="99.99"/>
    <x v="1"/>
    <x v="2"/>
    <x v="0"/>
    <x v="0"/>
    <s v="N/A"/>
  </r>
  <r>
    <x v="859"/>
    <x v="101"/>
    <x v="3"/>
    <s v="alexkim@gmail.com"/>
    <x v="2"/>
    <x v="2"/>
    <x v="1"/>
    <n v="79.989999999999995"/>
    <x v="2"/>
    <x v="2"/>
    <x v="0"/>
    <x v="0"/>
    <s v="N/A"/>
  </r>
  <r>
    <x v="860"/>
    <x v="103"/>
    <x v="6"/>
    <s v="sarahjohnson@email.com"/>
    <x v="0"/>
    <x v="0"/>
    <x v="1"/>
    <n v="15.99"/>
    <x v="2"/>
    <x v="2"/>
    <x v="3"/>
    <x v="1"/>
    <s v="N/A"/>
  </r>
  <r>
    <x v="861"/>
    <x v="22"/>
    <x v="3"/>
    <s v="alexkim@gmail.com"/>
    <x v="2"/>
    <x v="2"/>
    <x v="5"/>
    <n v="79.989999999999995"/>
    <x v="23"/>
    <x v="0"/>
    <x v="2"/>
    <x v="0"/>
    <s v="check"/>
  </r>
  <r>
    <x v="862"/>
    <x v="7"/>
    <x v="6"/>
    <s v="sarahjohnson@yahoo.com"/>
    <x v="8"/>
    <x v="5"/>
    <x v="4"/>
    <n v="29.99"/>
    <x v="37"/>
    <x v="2"/>
    <x v="1"/>
    <x v="2"/>
    <s v="N/A"/>
  </r>
  <r>
    <x v="863"/>
    <x v="7"/>
    <x v="1"/>
    <s v="chrislee@yahoo.com"/>
    <x v="4"/>
    <x v="1"/>
    <x v="5"/>
    <n v="14.99"/>
    <x v="15"/>
    <x v="2"/>
    <x v="0"/>
    <x v="1"/>
    <s v="N/A"/>
  </r>
  <r>
    <x v="864"/>
    <x v="343"/>
    <x v="5"/>
    <s v="emilychen@email.com"/>
    <x v="4"/>
    <x v="1"/>
    <x v="2"/>
    <n v="14.99"/>
    <x v="33"/>
    <x v="2"/>
    <x v="4"/>
    <x v="0"/>
    <s v="N/A"/>
  </r>
  <r>
    <x v="865"/>
    <x v="267"/>
    <x v="0"/>
    <s v="johnsmith@yahoo.com"/>
    <x v="2"/>
    <x v="2"/>
    <x v="5"/>
    <n v="79.989999999999995"/>
    <x v="23"/>
    <x v="2"/>
    <x v="0"/>
    <x v="1"/>
    <s v="N/A"/>
  </r>
  <r>
    <x v="866"/>
    <x v="127"/>
    <x v="1"/>
    <s v="chrislee@gmail.com"/>
    <x v="6"/>
    <x v="4"/>
    <x v="4"/>
    <n v="4.99"/>
    <x v="36"/>
    <x v="3"/>
    <x v="0"/>
    <x v="0"/>
    <s v="N/A"/>
  </r>
  <r>
    <x v="867"/>
    <x v="7"/>
    <x v="1"/>
    <s v="chrislee@yahoo.com"/>
    <x v="0"/>
    <x v="0"/>
    <x v="4"/>
    <n v="15.99"/>
    <x v="9"/>
    <x v="2"/>
    <x v="2"/>
    <x v="0"/>
    <s v="N/A"/>
  </r>
  <r>
    <x v="868"/>
    <x v="7"/>
    <x v="6"/>
    <s v="sarahjohnson@yahoo.com"/>
    <x v="7"/>
    <x v="5"/>
    <x v="5"/>
    <n v="49.99"/>
    <x v="32"/>
    <x v="3"/>
    <x v="4"/>
    <x v="1"/>
    <s v="N/A"/>
  </r>
  <r>
    <x v="869"/>
    <x v="7"/>
    <x v="1"/>
    <s v="N/A"/>
    <x v="4"/>
    <x v="1"/>
    <x v="5"/>
    <n v="14.99"/>
    <x v="15"/>
    <x v="3"/>
    <x v="0"/>
    <x v="0"/>
    <s v="N/A"/>
  </r>
  <r>
    <x v="870"/>
    <x v="7"/>
    <x v="4"/>
    <s v="mikebrown@gmail.com"/>
    <x v="8"/>
    <x v="5"/>
    <x v="4"/>
    <n v="29.99"/>
    <x v="37"/>
    <x v="2"/>
    <x v="2"/>
    <x v="0"/>
    <s v="N/A"/>
  </r>
  <r>
    <x v="871"/>
    <x v="265"/>
    <x v="5"/>
    <s v="emilychen@gmail.com"/>
    <x v="2"/>
    <x v="2"/>
    <x v="2"/>
    <n v="79.989999999999995"/>
    <x v="39"/>
    <x v="1"/>
    <x v="0"/>
    <x v="0"/>
    <s v="check"/>
  </r>
  <r>
    <x v="872"/>
    <x v="27"/>
    <x v="7"/>
    <s v="janedoe@gmail.com"/>
    <x v="0"/>
    <x v="0"/>
    <x v="5"/>
    <n v="15.99"/>
    <x v="40"/>
    <x v="1"/>
    <x v="0"/>
    <x v="0"/>
    <s v="N/A"/>
  </r>
  <r>
    <x v="873"/>
    <x v="190"/>
    <x v="1"/>
    <s v="chrislee@yahoo.com"/>
    <x v="1"/>
    <x v="1"/>
    <x v="1"/>
    <n v="99.99"/>
    <x v="2"/>
    <x v="2"/>
    <x v="0"/>
    <x v="0"/>
    <s v="N/A"/>
  </r>
  <r>
    <x v="874"/>
    <x v="52"/>
    <x v="6"/>
    <s v="sarahjohnson@gmail.com"/>
    <x v="2"/>
    <x v="2"/>
    <x v="2"/>
    <n v="79.989999999999995"/>
    <x v="39"/>
    <x v="3"/>
    <x v="3"/>
    <x v="0"/>
    <s v="check"/>
  </r>
  <r>
    <x v="875"/>
    <x v="7"/>
    <x v="3"/>
    <s v="alexkim@gmail.com"/>
    <x v="8"/>
    <x v="5"/>
    <x v="3"/>
    <n v="29.99"/>
    <x v="28"/>
    <x v="1"/>
    <x v="0"/>
    <x v="0"/>
    <s v="N/A"/>
  </r>
  <r>
    <x v="876"/>
    <x v="133"/>
    <x v="4"/>
    <s v="mikebrown@gmail.com"/>
    <x v="0"/>
    <x v="0"/>
    <x v="1"/>
    <n v="15.99"/>
    <x v="2"/>
    <x v="1"/>
    <x v="0"/>
    <x v="2"/>
    <s v="N/A"/>
  </r>
  <r>
    <x v="877"/>
    <x v="344"/>
    <x v="5"/>
    <s v="emilychen@gmail.com"/>
    <x v="0"/>
    <x v="0"/>
    <x v="2"/>
    <n v="15.99"/>
    <x v="42"/>
    <x v="3"/>
    <x v="0"/>
    <x v="2"/>
    <s v="N/A"/>
  </r>
  <r>
    <x v="878"/>
    <x v="7"/>
    <x v="7"/>
    <s v="emilychen@yahoo.com"/>
    <x v="1"/>
    <x v="1"/>
    <x v="2"/>
    <n v="99.99"/>
    <x v="27"/>
    <x v="2"/>
    <x v="3"/>
    <x v="1"/>
    <s v="check"/>
  </r>
  <r>
    <x v="879"/>
    <x v="7"/>
    <x v="2"/>
    <s v="janedoe@yahoo.com"/>
    <x v="7"/>
    <x v="5"/>
    <x v="1"/>
    <n v="49.99"/>
    <x v="2"/>
    <x v="2"/>
    <x v="4"/>
    <x v="2"/>
    <s v="N/A"/>
  </r>
  <r>
    <x v="880"/>
    <x v="37"/>
    <x v="0"/>
    <s v="johnsmith@email.com"/>
    <x v="7"/>
    <x v="5"/>
    <x v="2"/>
    <n v="49.99"/>
    <x v="43"/>
    <x v="2"/>
    <x v="1"/>
    <x v="1"/>
    <s v="N/A"/>
  </r>
  <r>
    <x v="881"/>
    <x v="345"/>
    <x v="4"/>
    <s v="mikebrown@yahoo.com"/>
    <x v="7"/>
    <x v="5"/>
    <x v="5"/>
    <n v="49.99"/>
    <x v="32"/>
    <x v="2"/>
    <x v="0"/>
    <x v="0"/>
    <s v="N/A"/>
  </r>
  <r>
    <x v="882"/>
    <x v="346"/>
    <x v="2"/>
    <s v="N/A"/>
    <x v="3"/>
    <x v="0"/>
    <x v="4"/>
    <n v="39.99"/>
    <x v="14"/>
    <x v="2"/>
    <x v="4"/>
    <x v="0"/>
    <s v="N/A"/>
  </r>
  <r>
    <x v="883"/>
    <x v="300"/>
    <x v="6"/>
    <s v="sarahjohnson@yahoo.com"/>
    <x v="6"/>
    <x v="4"/>
    <x v="1"/>
    <n v="4.99"/>
    <x v="2"/>
    <x v="2"/>
    <x v="2"/>
    <x v="0"/>
    <s v="check"/>
  </r>
  <r>
    <x v="884"/>
    <x v="155"/>
    <x v="4"/>
    <s v="mikebrown@gmail.com"/>
    <x v="1"/>
    <x v="1"/>
    <x v="2"/>
    <n v="99.99"/>
    <x v="27"/>
    <x v="3"/>
    <x v="2"/>
    <x v="0"/>
    <s v="N/A"/>
  </r>
  <r>
    <x v="885"/>
    <x v="238"/>
    <x v="2"/>
    <s v="N/A"/>
    <x v="2"/>
    <x v="2"/>
    <x v="5"/>
    <n v="79.989999999999995"/>
    <x v="23"/>
    <x v="3"/>
    <x v="2"/>
    <x v="2"/>
    <s v="N/A"/>
  </r>
  <r>
    <x v="886"/>
    <x v="7"/>
    <x v="5"/>
    <s v="N/A"/>
    <x v="5"/>
    <x v="3"/>
    <x v="2"/>
    <n v="59.99"/>
    <x v="17"/>
    <x v="1"/>
    <x v="4"/>
    <x v="1"/>
    <s v="N/A"/>
  </r>
  <r>
    <x v="887"/>
    <x v="7"/>
    <x v="3"/>
    <s v="alexkim@email.com"/>
    <x v="7"/>
    <x v="5"/>
    <x v="4"/>
    <n v="49.99"/>
    <x v="13"/>
    <x v="1"/>
    <x v="4"/>
    <x v="2"/>
    <s v="N/A"/>
  </r>
  <r>
    <x v="888"/>
    <x v="45"/>
    <x v="0"/>
    <s v="johnsmith@gmail.com"/>
    <x v="7"/>
    <x v="5"/>
    <x v="2"/>
    <n v="49.99"/>
    <x v="43"/>
    <x v="3"/>
    <x v="0"/>
    <x v="0"/>
    <s v="N/A"/>
  </r>
  <r>
    <x v="889"/>
    <x v="347"/>
    <x v="4"/>
    <s v="mikebrown@gmail.com"/>
    <x v="0"/>
    <x v="0"/>
    <x v="1"/>
    <n v="15.99"/>
    <x v="2"/>
    <x v="2"/>
    <x v="0"/>
    <x v="2"/>
    <s v="N/A"/>
  </r>
  <r>
    <x v="890"/>
    <x v="7"/>
    <x v="1"/>
    <s v="chrislee@email.com"/>
    <x v="2"/>
    <x v="2"/>
    <x v="4"/>
    <n v="79.989999999999995"/>
    <x v="19"/>
    <x v="2"/>
    <x v="2"/>
    <x v="0"/>
    <s v="N/A"/>
  </r>
  <r>
    <x v="891"/>
    <x v="348"/>
    <x v="0"/>
    <s v="johnsmith@yahoo.com"/>
    <x v="8"/>
    <x v="5"/>
    <x v="3"/>
    <n v="29.99"/>
    <x v="28"/>
    <x v="2"/>
    <x v="4"/>
    <x v="2"/>
    <s v="N/A"/>
  </r>
  <r>
    <x v="892"/>
    <x v="7"/>
    <x v="1"/>
    <s v="chrislee@email.com"/>
    <x v="7"/>
    <x v="5"/>
    <x v="1"/>
    <n v="49.99"/>
    <x v="2"/>
    <x v="2"/>
    <x v="1"/>
    <x v="0"/>
    <s v="N/A"/>
  </r>
  <r>
    <x v="893"/>
    <x v="172"/>
    <x v="3"/>
    <s v="alexkim@gmail.com"/>
    <x v="7"/>
    <x v="5"/>
    <x v="4"/>
    <n v="49.99"/>
    <x v="13"/>
    <x v="0"/>
    <x v="2"/>
    <x v="2"/>
    <s v="check"/>
  </r>
  <r>
    <x v="894"/>
    <x v="349"/>
    <x v="4"/>
    <s v="mikebrown@yahoo.com"/>
    <x v="0"/>
    <x v="0"/>
    <x v="1"/>
    <n v="15.99"/>
    <x v="2"/>
    <x v="1"/>
    <x v="2"/>
    <x v="1"/>
    <s v="N/A"/>
  </r>
  <r>
    <x v="895"/>
    <x v="350"/>
    <x v="1"/>
    <s v="chrislee@gmail.com"/>
    <x v="6"/>
    <x v="4"/>
    <x v="4"/>
    <n v="4.99"/>
    <x v="36"/>
    <x v="2"/>
    <x v="0"/>
    <x v="0"/>
    <s v="N/A"/>
  </r>
  <r>
    <x v="896"/>
    <x v="351"/>
    <x v="2"/>
    <s v="janedoe@gmail.com"/>
    <x v="8"/>
    <x v="5"/>
    <x v="2"/>
    <n v="29.99"/>
    <x v="31"/>
    <x v="0"/>
    <x v="3"/>
    <x v="0"/>
    <s v="N/A"/>
  </r>
  <r>
    <x v="897"/>
    <x v="123"/>
    <x v="2"/>
    <s v="janedoe@yahoo.com"/>
    <x v="1"/>
    <x v="1"/>
    <x v="1"/>
    <n v="99.99"/>
    <x v="2"/>
    <x v="2"/>
    <x v="0"/>
    <x v="1"/>
    <s v="N/A"/>
  </r>
  <r>
    <x v="898"/>
    <x v="7"/>
    <x v="0"/>
    <s v="johnsmith@yahoo.com"/>
    <x v="4"/>
    <x v="1"/>
    <x v="0"/>
    <n v="14.99"/>
    <x v="25"/>
    <x v="0"/>
    <x v="0"/>
    <x v="2"/>
    <s v="N/A"/>
  </r>
  <r>
    <x v="899"/>
    <x v="7"/>
    <x v="4"/>
    <s v="mikebrown@email.com"/>
    <x v="4"/>
    <x v="1"/>
    <x v="1"/>
    <n v="14.99"/>
    <x v="2"/>
    <x v="1"/>
    <x v="1"/>
    <x v="0"/>
    <s v="N/A"/>
  </r>
  <r>
    <x v="900"/>
    <x v="285"/>
    <x v="0"/>
    <s v="johnsmith@email.com"/>
    <x v="4"/>
    <x v="1"/>
    <x v="2"/>
    <n v="14.99"/>
    <x v="33"/>
    <x v="0"/>
    <x v="2"/>
    <x v="0"/>
    <s v="N/A"/>
  </r>
  <r>
    <x v="901"/>
    <x v="7"/>
    <x v="5"/>
    <s v="emilychen@gmail.com"/>
    <x v="3"/>
    <x v="0"/>
    <x v="4"/>
    <n v="39.99"/>
    <x v="14"/>
    <x v="2"/>
    <x v="4"/>
    <x v="0"/>
    <s v="N/A"/>
  </r>
  <r>
    <x v="902"/>
    <x v="67"/>
    <x v="3"/>
    <s v="alexkim@yahoo.com"/>
    <x v="7"/>
    <x v="5"/>
    <x v="3"/>
    <n v="49.99"/>
    <x v="8"/>
    <x v="2"/>
    <x v="1"/>
    <x v="0"/>
    <s v="N/A"/>
  </r>
  <r>
    <x v="903"/>
    <x v="7"/>
    <x v="1"/>
    <s v="chrislee@yahoo.com"/>
    <x v="8"/>
    <x v="5"/>
    <x v="5"/>
    <n v="29.99"/>
    <x v="26"/>
    <x v="1"/>
    <x v="1"/>
    <x v="0"/>
    <s v="N/A"/>
  </r>
  <r>
    <x v="904"/>
    <x v="7"/>
    <x v="0"/>
    <s v="johnsmith@email.com"/>
    <x v="1"/>
    <x v="1"/>
    <x v="3"/>
    <n v="99.99"/>
    <x v="12"/>
    <x v="2"/>
    <x v="2"/>
    <x v="0"/>
    <s v="N/A"/>
  </r>
  <r>
    <x v="905"/>
    <x v="352"/>
    <x v="3"/>
    <s v="alexkim@gmail.com"/>
    <x v="0"/>
    <x v="0"/>
    <x v="4"/>
    <n v="15.99"/>
    <x v="9"/>
    <x v="3"/>
    <x v="1"/>
    <x v="0"/>
    <s v="N/A"/>
  </r>
  <r>
    <x v="906"/>
    <x v="4"/>
    <x v="1"/>
    <s v="chrislee@email.com"/>
    <x v="7"/>
    <x v="5"/>
    <x v="2"/>
    <n v="49.99"/>
    <x v="43"/>
    <x v="3"/>
    <x v="1"/>
    <x v="2"/>
    <s v="N/A"/>
  </r>
  <r>
    <x v="907"/>
    <x v="274"/>
    <x v="5"/>
    <s v="emilychen@email.com"/>
    <x v="1"/>
    <x v="1"/>
    <x v="5"/>
    <n v="99.99"/>
    <x v="18"/>
    <x v="3"/>
    <x v="0"/>
    <x v="2"/>
    <s v="N/A"/>
  </r>
  <r>
    <x v="908"/>
    <x v="166"/>
    <x v="4"/>
    <s v="mikebrown@yahoo.com"/>
    <x v="2"/>
    <x v="2"/>
    <x v="0"/>
    <n v="79.989999999999995"/>
    <x v="7"/>
    <x v="2"/>
    <x v="0"/>
    <x v="0"/>
    <s v="check"/>
  </r>
  <r>
    <x v="909"/>
    <x v="7"/>
    <x v="2"/>
    <s v="janedoe@yahoo.com"/>
    <x v="0"/>
    <x v="0"/>
    <x v="1"/>
    <n v="15.99"/>
    <x v="2"/>
    <x v="1"/>
    <x v="0"/>
    <x v="2"/>
    <s v="N/A"/>
  </r>
  <r>
    <x v="910"/>
    <x v="353"/>
    <x v="5"/>
    <s v="emilychen@email.com"/>
    <x v="6"/>
    <x v="4"/>
    <x v="3"/>
    <n v="4.99"/>
    <x v="21"/>
    <x v="3"/>
    <x v="3"/>
    <x v="1"/>
    <s v="N/A"/>
  </r>
  <r>
    <x v="911"/>
    <x v="7"/>
    <x v="4"/>
    <s v="mikebrown@email.com"/>
    <x v="0"/>
    <x v="0"/>
    <x v="5"/>
    <n v="15.99"/>
    <x v="40"/>
    <x v="3"/>
    <x v="2"/>
    <x v="0"/>
    <s v="N/A"/>
  </r>
  <r>
    <x v="912"/>
    <x v="7"/>
    <x v="3"/>
    <s v="alexkim@email.com"/>
    <x v="7"/>
    <x v="5"/>
    <x v="2"/>
    <n v="49.99"/>
    <x v="43"/>
    <x v="1"/>
    <x v="0"/>
    <x v="0"/>
    <s v="N/A"/>
  </r>
  <r>
    <x v="913"/>
    <x v="7"/>
    <x v="2"/>
    <s v="janedoe@gmail.com"/>
    <x v="1"/>
    <x v="1"/>
    <x v="1"/>
    <n v="99.99"/>
    <x v="2"/>
    <x v="1"/>
    <x v="4"/>
    <x v="0"/>
    <s v="N/A"/>
  </r>
  <r>
    <x v="914"/>
    <x v="15"/>
    <x v="5"/>
    <s v="emilychen@email.com"/>
    <x v="0"/>
    <x v="0"/>
    <x v="3"/>
    <n v="15.99"/>
    <x v="45"/>
    <x v="2"/>
    <x v="2"/>
    <x v="0"/>
    <s v="N/A"/>
  </r>
  <r>
    <x v="915"/>
    <x v="7"/>
    <x v="4"/>
    <s v="mikebrown@gmail.com"/>
    <x v="3"/>
    <x v="0"/>
    <x v="0"/>
    <n v="39.99"/>
    <x v="10"/>
    <x v="2"/>
    <x v="0"/>
    <x v="0"/>
    <s v="N/A"/>
  </r>
  <r>
    <x v="916"/>
    <x v="7"/>
    <x v="3"/>
    <s v="alexkim@email.com"/>
    <x v="1"/>
    <x v="1"/>
    <x v="1"/>
    <n v="99.99"/>
    <x v="2"/>
    <x v="2"/>
    <x v="0"/>
    <x v="0"/>
    <s v="N/A"/>
  </r>
  <r>
    <x v="917"/>
    <x v="186"/>
    <x v="4"/>
    <s v="mikebrown@yahoo.com"/>
    <x v="8"/>
    <x v="5"/>
    <x v="4"/>
    <n v="29.99"/>
    <x v="37"/>
    <x v="1"/>
    <x v="0"/>
    <x v="0"/>
    <s v="N/A"/>
  </r>
  <r>
    <x v="918"/>
    <x v="224"/>
    <x v="2"/>
    <s v="janedoe@yahoo.com"/>
    <x v="2"/>
    <x v="2"/>
    <x v="1"/>
    <n v="79.989999999999995"/>
    <x v="2"/>
    <x v="0"/>
    <x v="2"/>
    <x v="0"/>
    <s v="N/A"/>
  </r>
  <r>
    <x v="919"/>
    <x v="279"/>
    <x v="0"/>
    <s v="johnsmith@yahoo.com"/>
    <x v="3"/>
    <x v="0"/>
    <x v="4"/>
    <n v="39.99"/>
    <x v="14"/>
    <x v="3"/>
    <x v="1"/>
    <x v="0"/>
    <s v="N/A"/>
  </r>
  <r>
    <x v="920"/>
    <x v="332"/>
    <x v="5"/>
    <s v="emilychen@email.com"/>
    <x v="0"/>
    <x v="0"/>
    <x v="1"/>
    <n v="15.99"/>
    <x v="2"/>
    <x v="2"/>
    <x v="2"/>
    <x v="0"/>
    <s v="N/A"/>
  </r>
  <r>
    <x v="921"/>
    <x v="308"/>
    <x v="6"/>
    <s v="sarahjohnson@gmail.com"/>
    <x v="3"/>
    <x v="0"/>
    <x v="2"/>
    <n v="39.99"/>
    <x v="3"/>
    <x v="0"/>
    <x v="0"/>
    <x v="0"/>
    <s v="N/A"/>
  </r>
  <r>
    <x v="922"/>
    <x v="192"/>
    <x v="0"/>
    <s v="johnsmith@email.com"/>
    <x v="7"/>
    <x v="5"/>
    <x v="4"/>
    <n v="49.99"/>
    <x v="13"/>
    <x v="2"/>
    <x v="2"/>
    <x v="0"/>
    <s v="N/A"/>
  </r>
  <r>
    <x v="923"/>
    <x v="7"/>
    <x v="0"/>
    <s v="johnsmith@gmail.com"/>
    <x v="8"/>
    <x v="5"/>
    <x v="3"/>
    <n v="29.99"/>
    <x v="28"/>
    <x v="3"/>
    <x v="2"/>
    <x v="1"/>
    <s v="N/A"/>
  </r>
  <r>
    <x v="924"/>
    <x v="354"/>
    <x v="6"/>
    <s v="sarahjohnson@yahoo.com"/>
    <x v="8"/>
    <x v="5"/>
    <x v="1"/>
    <n v="29.99"/>
    <x v="2"/>
    <x v="2"/>
    <x v="1"/>
    <x v="0"/>
    <s v="N/A"/>
  </r>
  <r>
    <x v="925"/>
    <x v="7"/>
    <x v="7"/>
    <s v="chrislee@gmail.com"/>
    <x v="8"/>
    <x v="5"/>
    <x v="1"/>
    <n v="29.99"/>
    <x v="2"/>
    <x v="1"/>
    <x v="0"/>
    <x v="2"/>
    <s v="N/A"/>
  </r>
  <r>
    <x v="926"/>
    <x v="355"/>
    <x v="2"/>
    <s v="janedoe@yahoo.com"/>
    <x v="4"/>
    <x v="1"/>
    <x v="0"/>
    <n v="14.99"/>
    <x v="25"/>
    <x v="3"/>
    <x v="1"/>
    <x v="2"/>
    <s v="N/A"/>
  </r>
  <r>
    <x v="927"/>
    <x v="353"/>
    <x v="6"/>
    <s v="sarahjohnson@yahoo.com"/>
    <x v="0"/>
    <x v="0"/>
    <x v="4"/>
    <n v="15.99"/>
    <x v="9"/>
    <x v="2"/>
    <x v="0"/>
    <x v="2"/>
    <s v="N/A"/>
  </r>
  <r>
    <x v="928"/>
    <x v="7"/>
    <x v="5"/>
    <s v="N/A"/>
    <x v="6"/>
    <x v="4"/>
    <x v="1"/>
    <n v="4.99"/>
    <x v="2"/>
    <x v="3"/>
    <x v="3"/>
    <x v="0"/>
    <s v="N/A"/>
  </r>
  <r>
    <x v="929"/>
    <x v="7"/>
    <x v="4"/>
    <s v="mikebrown@email.com"/>
    <x v="8"/>
    <x v="5"/>
    <x v="0"/>
    <n v="29.99"/>
    <x v="16"/>
    <x v="2"/>
    <x v="0"/>
    <x v="1"/>
    <s v="N/A"/>
  </r>
  <r>
    <x v="930"/>
    <x v="65"/>
    <x v="3"/>
    <s v="alexkim@gmail.com"/>
    <x v="6"/>
    <x v="4"/>
    <x v="5"/>
    <n v="4.99"/>
    <x v="11"/>
    <x v="0"/>
    <x v="0"/>
    <x v="0"/>
    <s v="N/A"/>
  </r>
  <r>
    <x v="931"/>
    <x v="7"/>
    <x v="1"/>
    <s v="chrislee@gmail.com"/>
    <x v="0"/>
    <x v="0"/>
    <x v="4"/>
    <n v="15.99"/>
    <x v="9"/>
    <x v="2"/>
    <x v="4"/>
    <x v="0"/>
    <s v="N/A"/>
  </r>
  <r>
    <x v="932"/>
    <x v="356"/>
    <x v="4"/>
    <s v="mikebrown@yahoo.com"/>
    <x v="7"/>
    <x v="5"/>
    <x v="0"/>
    <n v="49.99"/>
    <x v="20"/>
    <x v="3"/>
    <x v="2"/>
    <x v="0"/>
    <s v="N/A"/>
  </r>
  <r>
    <x v="933"/>
    <x v="7"/>
    <x v="5"/>
    <s v="emilychen@gmail.com"/>
    <x v="1"/>
    <x v="1"/>
    <x v="3"/>
    <n v="99.99"/>
    <x v="12"/>
    <x v="3"/>
    <x v="3"/>
    <x v="0"/>
    <s v="N/A"/>
  </r>
  <r>
    <x v="934"/>
    <x v="259"/>
    <x v="3"/>
    <s v="alexkim@yahoo.com"/>
    <x v="7"/>
    <x v="5"/>
    <x v="1"/>
    <n v="49.99"/>
    <x v="2"/>
    <x v="2"/>
    <x v="4"/>
    <x v="0"/>
    <s v="N/A"/>
  </r>
  <r>
    <x v="935"/>
    <x v="127"/>
    <x v="3"/>
    <s v="alexkim@yahoo.com"/>
    <x v="1"/>
    <x v="1"/>
    <x v="1"/>
    <n v="99.99"/>
    <x v="2"/>
    <x v="2"/>
    <x v="0"/>
    <x v="0"/>
    <s v="N/A"/>
  </r>
  <r>
    <x v="936"/>
    <x v="264"/>
    <x v="5"/>
    <s v="emilychen@yahoo.com"/>
    <x v="3"/>
    <x v="0"/>
    <x v="1"/>
    <n v="39.99"/>
    <x v="2"/>
    <x v="2"/>
    <x v="2"/>
    <x v="0"/>
    <s v="N/A"/>
  </r>
  <r>
    <x v="937"/>
    <x v="291"/>
    <x v="0"/>
    <s v="johnsmith@gmail.com"/>
    <x v="0"/>
    <x v="0"/>
    <x v="0"/>
    <n v="15.99"/>
    <x v="0"/>
    <x v="2"/>
    <x v="4"/>
    <x v="0"/>
    <s v="N/A"/>
  </r>
  <r>
    <x v="938"/>
    <x v="106"/>
    <x v="4"/>
    <s v="mikebrown@gmail.com"/>
    <x v="0"/>
    <x v="0"/>
    <x v="2"/>
    <n v="15.99"/>
    <x v="42"/>
    <x v="2"/>
    <x v="3"/>
    <x v="1"/>
    <s v="N/A"/>
  </r>
  <r>
    <x v="939"/>
    <x v="267"/>
    <x v="5"/>
    <s v="emilychen@gmail.com"/>
    <x v="8"/>
    <x v="5"/>
    <x v="4"/>
    <n v="29.99"/>
    <x v="37"/>
    <x v="2"/>
    <x v="0"/>
    <x v="0"/>
    <s v="N/A"/>
  </r>
  <r>
    <x v="940"/>
    <x v="151"/>
    <x v="2"/>
    <s v="janedoe@yahoo.com"/>
    <x v="6"/>
    <x v="4"/>
    <x v="2"/>
    <n v="4.99"/>
    <x v="41"/>
    <x v="0"/>
    <x v="3"/>
    <x v="2"/>
    <s v="N/A"/>
  </r>
  <r>
    <x v="941"/>
    <x v="132"/>
    <x v="0"/>
    <s v="johnsmith@email.com"/>
    <x v="3"/>
    <x v="0"/>
    <x v="3"/>
    <n v="39.99"/>
    <x v="44"/>
    <x v="0"/>
    <x v="0"/>
    <x v="0"/>
    <s v="N/A"/>
  </r>
  <r>
    <x v="942"/>
    <x v="357"/>
    <x v="2"/>
    <s v="janedoe@yahoo.com"/>
    <x v="4"/>
    <x v="1"/>
    <x v="1"/>
    <n v="14.99"/>
    <x v="2"/>
    <x v="2"/>
    <x v="2"/>
    <x v="0"/>
    <s v="N/A"/>
  </r>
  <r>
    <x v="943"/>
    <x v="201"/>
    <x v="1"/>
    <s v="N/A"/>
    <x v="4"/>
    <x v="1"/>
    <x v="5"/>
    <n v="14.99"/>
    <x v="15"/>
    <x v="1"/>
    <x v="2"/>
    <x v="0"/>
    <s v="N/A"/>
  </r>
  <r>
    <x v="944"/>
    <x v="358"/>
    <x v="0"/>
    <s v="johnsmith@email.com"/>
    <x v="6"/>
    <x v="4"/>
    <x v="1"/>
    <n v="4.99"/>
    <x v="2"/>
    <x v="1"/>
    <x v="0"/>
    <x v="1"/>
    <s v="N/A"/>
  </r>
  <r>
    <x v="945"/>
    <x v="173"/>
    <x v="4"/>
    <s v="mikebrown@email.com"/>
    <x v="4"/>
    <x v="1"/>
    <x v="4"/>
    <n v="14.99"/>
    <x v="6"/>
    <x v="3"/>
    <x v="4"/>
    <x v="0"/>
    <s v="N/A"/>
  </r>
  <r>
    <x v="946"/>
    <x v="144"/>
    <x v="0"/>
    <s v="johnsmith@yahoo.com"/>
    <x v="4"/>
    <x v="1"/>
    <x v="1"/>
    <n v="14.99"/>
    <x v="2"/>
    <x v="2"/>
    <x v="3"/>
    <x v="0"/>
    <s v="N/A"/>
  </r>
  <r>
    <x v="947"/>
    <x v="7"/>
    <x v="5"/>
    <s v="N/A"/>
    <x v="8"/>
    <x v="5"/>
    <x v="4"/>
    <n v="29.99"/>
    <x v="37"/>
    <x v="3"/>
    <x v="1"/>
    <x v="0"/>
    <s v="N/A"/>
  </r>
  <r>
    <x v="948"/>
    <x v="298"/>
    <x v="6"/>
    <s v="sarahjohnson@yahoo.com"/>
    <x v="1"/>
    <x v="1"/>
    <x v="3"/>
    <n v="99.99"/>
    <x v="12"/>
    <x v="2"/>
    <x v="2"/>
    <x v="0"/>
    <s v="N/A"/>
  </r>
  <r>
    <x v="949"/>
    <x v="188"/>
    <x v="6"/>
    <s v="sarahjohnson@yahoo.com"/>
    <x v="7"/>
    <x v="5"/>
    <x v="0"/>
    <n v="49.99"/>
    <x v="20"/>
    <x v="2"/>
    <x v="0"/>
    <x v="0"/>
    <s v="N/A"/>
  </r>
  <r>
    <x v="950"/>
    <x v="102"/>
    <x v="0"/>
    <s v="johnsmith@email.com"/>
    <x v="8"/>
    <x v="5"/>
    <x v="4"/>
    <n v="29.99"/>
    <x v="37"/>
    <x v="1"/>
    <x v="2"/>
    <x v="0"/>
    <s v="N/A"/>
  </r>
  <r>
    <x v="951"/>
    <x v="7"/>
    <x v="1"/>
    <s v="chrislee@email.com"/>
    <x v="7"/>
    <x v="5"/>
    <x v="4"/>
    <n v="49.99"/>
    <x v="13"/>
    <x v="3"/>
    <x v="2"/>
    <x v="0"/>
    <s v="N/A"/>
  </r>
  <r>
    <x v="952"/>
    <x v="14"/>
    <x v="3"/>
    <s v="alexkim@yahoo.com"/>
    <x v="0"/>
    <x v="0"/>
    <x v="2"/>
    <n v="15.99"/>
    <x v="42"/>
    <x v="3"/>
    <x v="0"/>
    <x v="0"/>
    <s v="N/A"/>
  </r>
  <r>
    <x v="953"/>
    <x v="7"/>
    <x v="3"/>
    <s v="alexkim@email.com"/>
    <x v="5"/>
    <x v="3"/>
    <x v="0"/>
    <n v="59.99"/>
    <x v="30"/>
    <x v="0"/>
    <x v="2"/>
    <x v="0"/>
    <s v="N/A"/>
  </r>
  <r>
    <x v="954"/>
    <x v="274"/>
    <x v="3"/>
    <s v="alexkim@gmail.com"/>
    <x v="3"/>
    <x v="0"/>
    <x v="4"/>
    <n v="39.99"/>
    <x v="14"/>
    <x v="0"/>
    <x v="4"/>
    <x v="0"/>
    <s v="N/A"/>
  </r>
  <r>
    <x v="955"/>
    <x v="344"/>
    <x v="7"/>
    <s v="johnsmith@yahoo.com"/>
    <x v="5"/>
    <x v="3"/>
    <x v="1"/>
    <n v="59.99"/>
    <x v="2"/>
    <x v="0"/>
    <x v="3"/>
    <x v="0"/>
    <s v="N/A"/>
  </r>
  <r>
    <x v="956"/>
    <x v="320"/>
    <x v="2"/>
    <s v="janedoe@gmail.com"/>
    <x v="0"/>
    <x v="0"/>
    <x v="0"/>
    <n v="15.99"/>
    <x v="0"/>
    <x v="2"/>
    <x v="2"/>
    <x v="0"/>
    <s v="N/A"/>
  </r>
  <r>
    <x v="957"/>
    <x v="212"/>
    <x v="1"/>
    <s v="chrislee@gmail.com"/>
    <x v="4"/>
    <x v="1"/>
    <x v="0"/>
    <n v="14.99"/>
    <x v="25"/>
    <x v="2"/>
    <x v="1"/>
    <x v="2"/>
    <s v="N/A"/>
  </r>
  <r>
    <x v="958"/>
    <x v="359"/>
    <x v="5"/>
    <s v="emilychen@yahoo.com"/>
    <x v="8"/>
    <x v="5"/>
    <x v="4"/>
    <n v="29.99"/>
    <x v="37"/>
    <x v="2"/>
    <x v="1"/>
    <x v="2"/>
    <s v="N/A"/>
  </r>
  <r>
    <x v="959"/>
    <x v="7"/>
    <x v="5"/>
    <s v="emilychen@gmail.com"/>
    <x v="7"/>
    <x v="5"/>
    <x v="5"/>
    <n v="49.99"/>
    <x v="32"/>
    <x v="2"/>
    <x v="0"/>
    <x v="1"/>
    <s v="N/A"/>
  </r>
  <r>
    <x v="960"/>
    <x v="285"/>
    <x v="2"/>
    <s v="janedoe@gmail.com"/>
    <x v="5"/>
    <x v="3"/>
    <x v="0"/>
    <n v="59.99"/>
    <x v="30"/>
    <x v="3"/>
    <x v="0"/>
    <x v="2"/>
    <s v="N/A"/>
  </r>
  <r>
    <x v="961"/>
    <x v="90"/>
    <x v="2"/>
    <s v="janedoe@email.com"/>
    <x v="6"/>
    <x v="4"/>
    <x v="4"/>
    <n v="4.99"/>
    <x v="36"/>
    <x v="0"/>
    <x v="0"/>
    <x v="0"/>
    <s v="N/A"/>
  </r>
  <r>
    <x v="962"/>
    <x v="335"/>
    <x v="3"/>
    <s v="alexkim@yahoo.com"/>
    <x v="3"/>
    <x v="0"/>
    <x v="4"/>
    <n v="39.99"/>
    <x v="14"/>
    <x v="2"/>
    <x v="2"/>
    <x v="2"/>
    <s v="N/A"/>
  </r>
  <r>
    <x v="963"/>
    <x v="271"/>
    <x v="4"/>
    <s v="mikebrown@gmail.com"/>
    <x v="0"/>
    <x v="0"/>
    <x v="4"/>
    <n v="15.99"/>
    <x v="9"/>
    <x v="1"/>
    <x v="1"/>
    <x v="1"/>
    <s v="N/A"/>
  </r>
  <r>
    <x v="964"/>
    <x v="7"/>
    <x v="1"/>
    <s v="chrislee@email.com"/>
    <x v="8"/>
    <x v="5"/>
    <x v="0"/>
    <n v="29.99"/>
    <x v="16"/>
    <x v="0"/>
    <x v="2"/>
    <x v="0"/>
    <s v="N/A"/>
  </r>
  <r>
    <x v="965"/>
    <x v="150"/>
    <x v="1"/>
    <s v="chrislee@yahoo.com"/>
    <x v="3"/>
    <x v="0"/>
    <x v="4"/>
    <n v="39.99"/>
    <x v="14"/>
    <x v="3"/>
    <x v="4"/>
    <x v="0"/>
    <s v="N/A"/>
  </r>
  <r>
    <x v="966"/>
    <x v="246"/>
    <x v="3"/>
    <s v="alexkim@yahoo.com"/>
    <x v="6"/>
    <x v="4"/>
    <x v="5"/>
    <n v="4.99"/>
    <x v="11"/>
    <x v="1"/>
    <x v="4"/>
    <x v="0"/>
    <s v="N/A"/>
  </r>
  <r>
    <x v="967"/>
    <x v="360"/>
    <x v="1"/>
    <s v="chrislee@gmail.com"/>
    <x v="7"/>
    <x v="5"/>
    <x v="0"/>
    <n v="49.99"/>
    <x v="20"/>
    <x v="0"/>
    <x v="2"/>
    <x v="0"/>
    <s v="N/A"/>
  </r>
  <r>
    <x v="968"/>
    <x v="331"/>
    <x v="4"/>
    <s v="mikebrown@yahoo.com"/>
    <x v="6"/>
    <x v="4"/>
    <x v="4"/>
    <n v="4.99"/>
    <x v="36"/>
    <x v="0"/>
    <x v="0"/>
    <x v="0"/>
    <s v="N/A"/>
  </r>
  <r>
    <x v="969"/>
    <x v="315"/>
    <x v="7"/>
    <s v="janedoe@yahoo.com"/>
    <x v="7"/>
    <x v="5"/>
    <x v="3"/>
    <n v="49.99"/>
    <x v="8"/>
    <x v="2"/>
    <x v="0"/>
    <x v="0"/>
    <s v="N/A"/>
  </r>
  <r>
    <x v="970"/>
    <x v="361"/>
    <x v="0"/>
    <s v="johnsmith@gmail.com"/>
    <x v="0"/>
    <x v="0"/>
    <x v="4"/>
    <n v="15.99"/>
    <x v="9"/>
    <x v="2"/>
    <x v="0"/>
    <x v="0"/>
    <s v="N/A"/>
  </r>
  <r>
    <x v="971"/>
    <x v="103"/>
    <x v="0"/>
    <s v="johnsmith@gmail.com"/>
    <x v="7"/>
    <x v="5"/>
    <x v="4"/>
    <n v="49.99"/>
    <x v="13"/>
    <x v="3"/>
    <x v="0"/>
    <x v="0"/>
    <s v="N/A"/>
  </r>
  <r>
    <x v="972"/>
    <x v="257"/>
    <x v="5"/>
    <s v="emilychen@email.com"/>
    <x v="5"/>
    <x v="3"/>
    <x v="4"/>
    <n v="59.99"/>
    <x v="24"/>
    <x v="2"/>
    <x v="0"/>
    <x v="0"/>
    <s v="N/A"/>
  </r>
  <r>
    <x v="973"/>
    <x v="232"/>
    <x v="1"/>
    <s v="chrislee@gmail.com"/>
    <x v="6"/>
    <x v="4"/>
    <x v="5"/>
    <n v="4.99"/>
    <x v="11"/>
    <x v="2"/>
    <x v="3"/>
    <x v="0"/>
    <s v="N/A"/>
  </r>
  <r>
    <x v="974"/>
    <x v="362"/>
    <x v="7"/>
    <s v="johnsmith@email.com"/>
    <x v="4"/>
    <x v="1"/>
    <x v="1"/>
    <n v="14.99"/>
    <x v="2"/>
    <x v="1"/>
    <x v="0"/>
    <x v="1"/>
    <s v="N/A"/>
  </r>
  <r>
    <x v="975"/>
    <x v="326"/>
    <x v="3"/>
    <s v="alexkim@yahoo.com"/>
    <x v="7"/>
    <x v="5"/>
    <x v="5"/>
    <n v="49.99"/>
    <x v="32"/>
    <x v="0"/>
    <x v="0"/>
    <x v="0"/>
    <s v="check"/>
  </r>
  <r>
    <x v="976"/>
    <x v="154"/>
    <x v="2"/>
    <s v="janedoe@yahoo.com"/>
    <x v="1"/>
    <x v="1"/>
    <x v="1"/>
    <n v="99.99"/>
    <x v="2"/>
    <x v="0"/>
    <x v="3"/>
    <x v="0"/>
    <s v="N/A"/>
  </r>
  <r>
    <x v="977"/>
    <x v="270"/>
    <x v="1"/>
    <s v="chrislee@yahoo.com"/>
    <x v="4"/>
    <x v="1"/>
    <x v="3"/>
    <n v="14.99"/>
    <x v="4"/>
    <x v="2"/>
    <x v="1"/>
    <x v="1"/>
    <s v="N/A"/>
  </r>
  <r>
    <x v="978"/>
    <x v="363"/>
    <x v="6"/>
    <s v="sarahjohnson@yahoo.com"/>
    <x v="1"/>
    <x v="1"/>
    <x v="3"/>
    <n v="99.99"/>
    <x v="12"/>
    <x v="2"/>
    <x v="4"/>
    <x v="0"/>
    <s v="check"/>
  </r>
  <r>
    <x v="979"/>
    <x v="178"/>
    <x v="1"/>
    <s v="chrislee@yahoo.com"/>
    <x v="1"/>
    <x v="1"/>
    <x v="5"/>
    <n v="99.99"/>
    <x v="18"/>
    <x v="0"/>
    <x v="0"/>
    <x v="1"/>
    <s v="N/A"/>
  </r>
  <r>
    <x v="980"/>
    <x v="364"/>
    <x v="3"/>
    <s v="alexkim@yahoo.com"/>
    <x v="6"/>
    <x v="4"/>
    <x v="1"/>
    <n v="4.99"/>
    <x v="2"/>
    <x v="3"/>
    <x v="0"/>
    <x v="0"/>
    <s v="N/A"/>
  </r>
  <r>
    <x v="981"/>
    <x v="365"/>
    <x v="6"/>
    <s v="sarahjohnson@gmail.com"/>
    <x v="1"/>
    <x v="1"/>
    <x v="4"/>
    <n v="99.99"/>
    <x v="22"/>
    <x v="2"/>
    <x v="2"/>
    <x v="2"/>
    <s v="check"/>
  </r>
  <r>
    <x v="982"/>
    <x v="68"/>
    <x v="6"/>
    <s v="sarahjohnson@yahoo.com"/>
    <x v="4"/>
    <x v="1"/>
    <x v="1"/>
    <n v="14.99"/>
    <x v="2"/>
    <x v="0"/>
    <x v="1"/>
    <x v="0"/>
    <s v="N/A"/>
  </r>
  <r>
    <x v="983"/>
    <x v="132"/>
    <x v="5"/>
    <s v="emilychen@email.com"/>
    <x v="8"/>
    <x v="5"/>
    <x v="2"/>
    <n v="29.99"/>
    <x v="31"/>
    <x v="2"/>
    <x v="0"/>
    <x v="0"/>
    <s v="N/A"/>
  </r>
  <r>
    <x v="984"/>
    <x v="252"/>
    <x v="5"/>
    <s v="emilychen@yahoo.com"/>
    <x v="3"/>
    <x v="0"/>
    <x v="2"/>
    <n v="39.99"/>
    <x v="3"/>
    <x v="2"/>
    <x v="0"/>
    <x v="0"/>
    <s v="N/A"/>
  </r>
  <r>
    <x v="985"/>
    <x v="7"/>
    <x v="1"/>
    <s v="chrislee@email.com"/>
    <x v="5"/>
    <x v="3"/>
    <x v="2"/>
    <n v="59.99"/>
    <x v="17"/>
    <x v="3"/>
    <x v="1"/>
    <x v="2"/>
    <s v="N/A"/>
  </r>
  <r>
    <x v="986"/>
    <x v="11"/>
    <x v="6"/>
    <s v="sarahjohnson@yahoo.com"/>
    <x v="3"/>
    <x v="0"/>
    <x v="0"/>
    <n v="39.99"/>
    <x v="10"/>
    <x v="1"/>
    <x v="0"/>
    <x v="0"/>
    <s v="N/A"/>
  </r>
  <r>
    <x v="987"/>
    <x v="366"/>
    <x v="5"/>
    <s v="emilychen@email.com"/>
    <x v="1"/>
    <x v="1"/>
    <x v="1"/>
    <n v="99.99"/>
    <x v="2"/>
    <x v="3"/>
    <x v="2"/>
    <x v="0"/>
    <s v="N/A"/>
  </r>
  <r>
    <x v="988"/>
    <x v="217"/>
    <x v="4"/>
    <s v="mikebrown@email.com"/>
    <x v="3"/>
    <x v="0"/>
    <x v="1"/>
    <n v="39.99"/>
    <x v="2"/>
    <x v="0"/>
    <x v="0"/>
    <x v="0"/>
    <s v="N/A"/>
  </r>
  <r>
    <x v="989"/>
    <x v="7"/>
    <x v="3"/>
    <s v="alexkim@gmail.com"/>
    <x v="4"/>
    <x v="1"/>
    <x v="4"/>
    <n v="14.99"/>
    <x v="6"/>
    <x v="2"/>
    <x v="0"/>
    <x v="0"/>
    <s v="check"/>
  </r>
  <r>
    <x v="990"/>
    <x v="56"/>
    <x v="0"/>
    <s v="johnsmith@gmail.com"/>
    <x v="5"/>
    <x v="3"/>
    <x v="4"/>
    <n v="59.99"/>
    <x v="24"/>
    <x v="2"/>
    <x v="4"/>
    <x v="2"/>
    <s v="N/A"/>
  </r>
  <r>
    <x v="991"/>
    <x v="192"/>
    <x v="0"/>
    <s v="johnsmith@yahoo.com"/>
    <x v="4"/>
    <x v="1"/>
    <x v="1"/>
    <n v="14.99"/>
    <x v="2"/>
    <x v="2"/>
    <x v="2"/>
    <x v="2"/>
    <s v="N/A"/>
  </r>
  <r>
    <x v="992"/>
    <x v="273"/>
    <x v="2"/>
    <s v="janedoe@gmail.com"/>
    <x v="3"/>
    <x v="0"/>
    <x v="4"/>
    <n v="39.99"/>
    <x v="14"/>
    <x v="2"/>
    <x v="2"/>
    <x v="0"/>
    <s v="N/A"/>
  </r>
  <r>
    <x v="993"/>
    <x v="367"/>
    <x v="0"/>
    <s v="johnsmith@email.com"/>
    <x v="3"/>
    <x v="0"/>
    <x v="4"/>
    <n v="39.99"/>
    <x v="14"/>
    <x v="3"/>
    <x v="3"/>
    <x v="0"/>
    <s v="check"/>
  </r>
  <r>
    <x v="994"/>
    <x v="150"/>
    <x v="5"/>
    <s v="emilychen@yahoo.com"/>
    <x v="6"/>
    <x v="4"/>
    <x v="0"/>
    <n v="4.99"/>
    <x v="35"/>
    <x v="0"/>
    <x v="2"/>
    <x v="2"/>
    <s v="N/A"/>
  </r>
  <r>
    <x v="995"/>
    <x v="7"/>
    <x v="1"/>
    <s v="chrislee@gmail.com"/>
    <x v="5"/>
    <x v="3"/>
    <x v="1"/>
    <n v="59.99"/>
    <x v="2"/>
    <x v="2"/>
    <x v="4"/>
    <x v="0"/>
    <s v="N/A"/>
  </r>
  <r>
    <x v="996"/>
    <x v="368"/>
    <x v="0"/>
    <s v="johnsmith@gmail.com"/>
    <x v="2"/>
    <x v="2"/>
    <x v="3"/>
    <n v="79.989999999999995"/>
    <x v="29"/>
    <x v="2"/>
    <x v="0"/>
    <x v="1"/>
    <s v="N/A"/>
  </r>
  <r>
    <x v="997"/>
    <x v="219"/>
    <x v="5"/>
    <s v="emilychen@email.com"/>
    <x v="4"/>
    <x v="1"/>
    <x v="0"/>
    <n v="14.99"/>
    <x v="25"/>
    <x v="2"/>
    <x v="1"/>
    <x v="1"/>
    <s v="N/A"/>
  </r>
  <r>
    <x v="998"/>
    <x v="242"/>
    <x v="1"/>
    <s v="chrislee@email.com"/>
    <x v="4"/>
    <x v="1"/>
    <x v="0"/>
    <n v="14.99"/>
    <x v="25"/>
    <x v="2"/>
    <x v="2"/>
    <x v="0"/>
    <s v="N/A"/>
  </r>
  <r>
    <x v="999"/>
    <x v="257"/>
    <x v="1"/>
    <s v="chrislee@gmail.com"/>
    <x v="5"/>
    <x v="3"/>
    <x v="5"/>
    <n v="59.99"/>
    <x v="38"/>
    <x v="1"/>
    <x v="4"/>
    <x v="2"/>
    <s v="N/A"/>
  </r>
  <r>
    <x v="1000"/>
    <x v="7"/>
    <x v="3"/>
    <s v="alexkim@email.com"/>
    <x v="0"/>
    <x v="0"/>
    <x v="0"/>
    <n v="15.99"/>
    <x v="0"/>
    <x v="3"/>
    <x v="3"/>
    <x v="2"/>
    <s v="N/A"/>
  </r>
  <r>
    <x v="1001"/>
    <x v="7"/>
    <x v="6"/>
    <s v="N/A"/>
    <x v="8"/>
    <x v="5"/>
    <x v="1"/>
    <n v="29.99"/>
    <x v="2"/>
    <x v="2"/>
    <x v="2"/>
    <x v="0"/>
    <s v="N/A"/>
  </r>
  <r>
    <x v="1002"/>
    <x v="24"/>
    <x v="2"/>
    <s v="janedoe@gmail.com"/>
    <x v="1"/>
    <x v="1"/>
    <x v="1"/>
    <n v="99.99"/>
    <x v="2"/>
    <x v="0"/>
    <x v="1"/>
    <x v="0"/>
    <s v="N/A"/>
  </r>
  <r>
    <x v="1003"/>
    <x v="109"/>
    <x v="7"/>
    <s v="alexkim@yahoo.com"/>
    <x v="7"/>
    <x v="5"/>
    <x v="1"/>
    <n v="49.99"/>
    <x v="2"/>
    <x v="1"/>
    <x v="0"/>
    <x v="1"/>
    <s v="N/A"/>
  </r>
  <r>
    <x v="1004"/>
    <x v="285"/>
    <x v="0"/>
    <s v="johnsmith@gmail.com"/>
    <x v="6"/>
    <x v="4"/>
    <x v="3"/>
    <n v="4.99"/>
    <x v="21"/>
    <x v="1"/>
    <x v="3"/>
    <x v="0"/>
    <s v="N/A"/>
  </r>
  <r>
    <x v="1005"/>
    <x v="124"/>
    <x v="7"/>
    <s v="johnsmith@email.com"/>
    <x v="6"/>
    <x v="4"/>
    <x v="1"/>
    <n v="4.99"/>
    <x v="2"/>
    <x v="3"/>
    <x v="0"/>
    <x v="0"/>
    <s v="N/A"/>
  </r>
  <r>
    <x v="1006"/>
    <x v="7"/>
    <x v="5"/>
    <s v="emilychen@email.com"/>
    <x v="5"/>
    <x v="3"/>
    <x v="2"/>
    <n v="59.99"/>
    <x v="17"/>
    <x v="3"/>
    <x v="0"/>
    <x v="0"/>
    <s v="N/A"/>
  </r>
  <r>
    <x v="1007"/>
    <x v="7"/>
    <x v="2"/>
    <s v="janedoe@gmail.com"/>
    <x v="0"/>
    <x v="0"/>
    <x v="0"/>
    <n v="15.99"/>
    <x v="0"/>
    <x v="2"/>
    <x v="4"/>
    <x v="0"/>
    <s v="N/A"/>
  </r>
  <r>
    <x v="1008"/>
    <x v="257"/>
    <x v="3"/>
    <s v="alexkim@yahoo.com"/>
    <x v="5"/>
    <x v="3"/>
    <x v="3"/>
    <n v="59.99"/>
    <x v="5"/>
    <x v="2"/>
    <x v="1"/>
    <x v="1"/>
    <s v="N/A"/>
  </r>
  <r>
    <x v="1009"/>
    <x v="125"/>
    <x v="1"/>
    <s v="chrislee@yahoo.com"/>
    <x v="3"/>
    <x v="0"/>
    <x v="1"/>
    <n v="39.99"/>
    <x v="2"/>
    <x v="3"/>
    <x v="0"/>
    <x v="1"/>
    <s v="N/A"/>
  </r>
  <r>
    <x v="1010"/>
    <x v="112"/>
    <x v="0"/>
    <s v="johnsmith@yahoo.com"/>
    <x v="6"/>
    <x v="4"/>
    <x v="4"/>
    <n v="4.99"/>
    <x v="36"/>
    <x v="2"/>
    <x v="0"/>
    <x v="0"/>
    <s v="N/A"/>
  </r>
  <r>
    <x v="1011"/>
    <x v="7"/>
    <x v="2"/>
    <s v="janedoe@gmail.com"/>
    <x v="6"/>
    <x v="4"/>
    <x v="4"/>
    <n v="4.99"/>
    <x v="36"/>
    <x v="2"/>
    <x v="2"/>
    <x v="0"/>
    <s v="N/A"/>
  </r>
  <r>
    <x v="1012"/>
    <x v="183"/>
    <x v="2"/>
    <s v="janedoe@gmail.com"/>
    <x v="0"/>
    <x v="0"/>
    <x v="0"/>
    <n v="15.99"/>
    <x v="0"/>
    <x v="2"/>
    <x v="1"/>
    <x v="0"/>
    <s v="N/A"/>
  </r>
  <r>
    <x v="1013"/>
    <x v="29"/>
    <x v="1"/>
    <s v="chrislee@yahoo.com"/>
    <x v="7"/>
    <x v="5"/>
    <x v="4"/>
    <n v="49.99"/>
    <x v="13"/>
    <x v="2"/>
    <x v="4"/>
    <x v="0"/>
    <s v="N/A"/>
  </r>
  <r>
    <x v="1014"/>
    <x v="369"/>
    <x v="5"/>
    <s v="emilychen@gmail.com"/>
    <x v="8"/>
    <x v="5"/>
    <x v="1"/>
    <n v="29.99"/>
    <x v="2"/>
    <x v="2"/>
    <x v="1"/>
    <x v="0"/>
    <s v="N/A"/>
  </r>
  <r>
    <x v="1015"/>
    <x v="370"/>
    <x v="0"/>
    <s v="johnsmith@yahoo.com"/>
    <x v="2"/>
    <x v="2"/>
    <x v="5"/>
    <n v="79.989999999999995"/>
    <x v="23"/>
    <x v="3"/>
    <x v="0"/>
    <x v="0"/>
    <s v="N/A"/>
  </r>
  <r>
    <x v="1016"/>
    <x v="371"/>
    <x v="2"/>
    <s v="janedoe@email.com"/>
    <x v="6"/>
    <x v="4"/>
    <x v="4"/>
    <n v="4.99"/>
    <x v="36"/>
    <x v="2"/>
    <x v="2"/>
    <x v="0"/>
    <s v="N/A"/>
  </r>
  <r>
    <x v="1017"/>
    <x v="81"/>
    <x v="3"/>
    <s v="alexkim@gmail.com"/>
    <x v="0"/>
    <x v="0"/>
    <x v="3"/>
    <n v="15.99"/>
    <x v="45"/>
    <x v="1"/>
    <x v="2"/>
    <x v="0"/>
    <s v="N/A"/>
  </r>
  <r>
    <x v="1018"/>
    <x v="372"/>
    <x v="7"/>
    <s v="emilychen@email.com"/>
    <x v="3"/>
    <x v="0"/>
    <x v="4"/>
    <n v="39.99"/>
    <x v="14"/>
    <x v="0"/>
    <x v="0"/>
    <x v="2"/>
    <s v="N/A"/>
  </r>
  <r>
    <x v="1019"/>
    <x v="60"/>
    <x v="1"/>
    <s v="chrislee@yahoo.com"/>
    <x v="6"/>
    <x v="4"/>
    <x v="4"/>
    <n v="4.99"/>
    <x v="36"/>
    <x v="0"/>
    <x v="4"/>
    <x v="0"/>
    <s v="N/A"/>
  </r>
  <r>
    <x v="1020"/>
    <x v="4"/>
    <x v="7"/>
    <s v="johnsmith@yahoo.com"/>
    <x v="5"/>
    <x v="3"/>
    <x v="0"/>
    <n v="59.99"/>
    <x v="30"/>
    <x v="2"/>
    <x v="4"/>
    <x v="0"/>
    <s v="N/A"/>
  </r>
  <r>
    <x v="1021"/>
    <x v="136"/>
    <x v="1"/>
    <s v="chrislee@email.com"/>
    <x v="5"/>
    <x v="3"/>
    <x v="2"/>
    <n v="59.99"/>
    <x v="17"/>
    <x v="1"/>
    <x v="2"/>
    <x v="0"/>
    <s v="N/A"/>
  </r>
  <r>
    <x v="1022"/>
    <x v="175"/>
    <x v="1"/>
    <s v="chrislee@gmail.com"/>
    <x v="8"/>
    <x v="5"/>
    <x v="4"/>
    <n v="29.99"/>
    <x v="37"/>
    <x v="0"/>
    <x v="2"/>
    <x v="0"/>
    <s v="N/A"/>
  </r>
  <r>
    <x v="1023"/>
    <x v="212"/>
    <x v="2"/>
    <s v="janedoe@gmail.com"/>
    <x v="5"/>
    <x v="3"/>
    <x v="3"/>
    <n v="59.99"/>
    <x v="5"/>
    <x v="2"/>
    <x v="2"/>
    <x v="2"/>
    <s v="N/A"/>
  </r>
  <r>
    <x v="1024"/>
    <x v="373"/>
    <x v="4"/>
    <s v="N/A"/>
    <x v="0"/>
    <x v="0"/>
    <x v="1"/>
    <n v="15.99"/>
    <x v="2"/>
    <x v="2"/>
    <x v="4"/>
    <x v="2"/>
    <s v="N/A"/>
  </r>
  <r>
    <x v="1025"/>
    <x v="367"/>
    <x v="6"/>
    <s v="sarahjohnson@email.com"/>
    <x v="4"/>
    <x v="1"/>
    <x v="1"/>
    <n v="14.99"/>
    <x v="2"/>
    <x v="1"/>
    <x v="2"/>
    <x v="2"/>
    <s v="N/A"/>
  </r>
  <r>
    <x v="1026"/>
    <x v="7"/>
    <x v="4"/>
    <s v="mikebrown@email.com"/>
    <x v="4"/>
    <x v="1"/>
    <x v="2"/>
    <n v="14.99"/>
    <x v="33"/>
    <x v="2"/>
    <x v="4"/>
    <x v="0"/>
    <s v="N/A"/>
  </r>
  <r>
    <x v="1027"/>
    <x v="194"/>
    <x v="0"/>
    <s v="johnsmith@gmail.com"/>
    <x v="5"/>
    <x v="3"/>
    <x v="4"/>
    <n v="59.99"/>
    <x v="24"/>
    <x v="3"/>
    <x v="0"/>
    <x v="0"/>
    <s v="N/A"/>
  </r>
  <r>
    <x v="1028"/>
    <x v="31"/>
    <x v="2"/>
    <s v="janedoe@gmail.com"/>
    <x v="3"/>
    <x v="0"/>
    <x v="5"/>
    <n v="39.99"/>
    <x v="34"/>
    <x v="1"/>
    <x v="4"/>
    <x v="2"/>
    <s v="N/A"/>
  </r>
  <r>
    <x v="1029"/>
    <x v="7"/>
    <x v="6"/>
    <s v="sarahjohnson@yahoo.com"/>
    <x v="8"/>
    <x v="5"/>
    <x v="5"/>
    <n v="29.99"/>
    <x v="26"/>
    <x v="2"/>
    <x v="0"/>
    <x v="0"/>
    <s v="check"/>
  </r>
  <r>
    <x v="1030"/>
    <x v="287"/>
    <x v="1"/>
    <s v="chrislee@gmail.com"/>
    <x v="2"/>
    <x v="2"/>
    <x v="2"/>
    <n v="79.989999999999995"/>
    <x v="39"/>
    <x v="0"/>
    <x v="1"/>
    <x v="1"/>
    <s v="N/A"/>
  </r>
  <r>
    <x v="1031"/>
    <x v="290"/>
    <x v="6"/>
    <s v="sarahjohnson@yahoo.com"/>
    <x v="7"/>
    <x v="5"/>
    <x v="3"/>
    <n v="49.99"/>
    <x v="8"/>
    <x v="0"/>
    <x v="0"/>
    <x v="0"/>
    <s v="N/A"/>
  </r>
  <r>
    <x v="1032"/>
    <x v="7"/>
    <x v="6"/>
    <s v="sarahjohnson@gmail.com"/>
    <x v="1"/>
    <x v="1"/>
    <x v="3"/>
    <n v="99.99"/>
    <x v="12"/>
    <x v="1"/>
    <x v="4"/>
    <x v="2"/>
    <s v="N/A"/>
  </r>
  <r>
    <x v="1033"/>
    <x v="139"/>
    <x v="1"/>
    <s v="chrislee@gmail.com"/>
    <x v="6"/>
    <x v="4"/>
    <x v="4"/>
    <n v="4.99"/>
    <x v="36"/>
    <x v="2"/>
    <x v="2"/>
    <x v="2"/>
    <s v="N/A"/>
  </r>
  <r>
    <x v="1034"/>
    <x v="297"/>
    <x v="3"/>
    <s v="alexkim@gmail.com"/>
    <x v="4"/>
    <x v="1"/>
    <x v="1"/>
    <n v="14.99"/>
    <x v="2"/>
    <x v="2"/>
    <x v="0"/>
    <x v="0"/>
    <s v="N/A"/>
  </r>
  <r>
    <x v="1035"/>
    <x v="374"/>
    <x v="1"/>
    <s v="chrislee@gmail.com"/>
    <x v="5"/>
    <x v="3"/>
    <x v="1"/>
    <n v="59.99"/>
    <x v="2"/>
    <x v="2"/>
    <x v="2"/>
    <x v="0"/>
    <s v="N/A"/>
  </r>
  <r>
    <x v="1036"/>
    <x v="325"/>
    <x v="4"/>
    <s v="mikebrown@gmail.com"/>
    <x v="6"/>
    <x v="4"/>
    <x v="1"/>
    <n v="4.99"/>
    <x v="2"/>
    <x v="2"/>
    <x v="3"/>
    <x v="2"/>
    <s v="N/A"/>
  </r>
  <r>
    <x v="1037"/>
    <x v="365"/>
    <x v="4"/>
    <s v="mikebrown@gmail.com"/>
    <x v="4"/>
    <x v="1"/>
    <x v="1"/>
    <n v="14.99"/>
    <x v="2"/>
    <x v="3"/>
    <x v="1"/>
    <x v="2"/>
    <s v="N/A"/>
  </r>
  <r>
    <x v="1038"/>
    <x v="212"/>
    <x v="0"/>
    <s v="johnsmith@email.com"/>
    <x v="2"/>
    <x v="2"/>
    <x v="1"/>
    <n v="79.989999999999995"/>
    <x v="2"/>
    <x v="3"/>
    <x v="1"/>
    <x v="2"/>
    <s v="N/A"/>
  </r>
  <r>
    <x v="1039"/>
    <x v="108"/>
    <x v="6"/>
    <s v="sarahjohnson@yahoo.com"/>
    <x v="1"/>
    <x v="1"/>
    <x v="5"/>
    <n v="99.99"/>
    <x v="18"/>
    <x v="0"/>
    <x v="1"/>
    <x v="1"/>
    <s v="N/A"/>
  </r>
  <r>
    <x v="1040"/>
    <x v="305"/>
    <x v="4"/>
    <s v="mikebrown@email.com"/>
    <x v="5"/>
    <x v="3"/>
    <x v="2"/>
    <n v="59.99"/>
    <x v="17"/>
    <x v="3"/>
    <x v="0"/>
    <x v="0"/>
    <s v="N/A"/>
  </r>
  <r>
    <x v="1041"/>
    <x v="375"/>
    <x v="5"/>
    <s v="emilychen@email.com"/>
    <x v="5"/>
    <x v="3"/>
    <x v="4"/>
    <n v="59.99"/>
    <x v="24"/>
    <x v="2"/>
    <x v="3"/>
    <x v="0"/>
    <s v="N/A"/>
  </r>
  <r>
    <x v="1042"/>
    <x v="298"/>
    <x v="5"/>
    <s v="emilychen@email.com"/>
    <x v="1"/>
    <x v="1"/>
    <x v="4"/>
    <n v="99.99"/>
    <x v="22"/>
    <x v="2"/>
    <x v="2"/>
    <x v="0"/>
    <s v="N/A"/>
  </r>
  <r>
    <x v="1043"/>
    <x v="376"/>
    <x v="6"/>
    <s v="sarahjohnson@yahoo.com"/>
    <x v="4"/>
    <x v="1"/>
    <x v="0"/>
    <n v="14.99"/>
    <x v="25"/>
    <x v="1"/>
    <x v="1"/>
    <x v="0"/>
    <s v="N/A"/>
  </r>
  <r>
    <x v="1044"/>
    <x v="7"/>
    <x v="6"/>
    <s v="sarahjohnson@yahoo.com"/>
    <x v="0"/>
    <x v="0"/>
    <x v="1"/>
    <n v="15.99"/>
    <x v="2"/>
    <x v="2"/>
    <x v="0"/>
    <x v="0"/>
    <s v="N/A"/>
  </r>
  <r>
    <x v="1045"/>
    <x v="209"/>
    <x v="4"/>
    <s v="mikebrown@yahoo.com"/>
    <x v="7"/>
    <x v="5"/>
    <x v="1"/>
    <n v="49.99"/>
    <x v="2"/>
    <x v="2"/>
    <x v="0"/>
    <x v="0"/>
    <s v="N/A"/>
  </r>
  <r>
    <x v="1046"/>
    <x v="377"/>
    <x v="3"/>
    <s v="alexkim@gmail.com"/>
    <x v="7"/>
    <x v="5"/>
    <x v="5"/>
    <n v="49.99"/>
    <x v="32"/>
    <x v="2"/>
    <x v="1"/>
    <x v="0"/>
    <s v="N/A"/>
  </r>
  <r>
    <x v="1047"/>
    <x v="7"/>
    <x v="4"/>
    <s v="mikebrown@email.com"/>
    <x v="2"/>
    <x v="2"/>
    <x v="0"/>
    <n v="79.989999999999995"/>
    <x v="7"/>
    <x v="0"/>
    <x v="0"/>
    <x v="1"/>
    <s v="N/A"/>
  </r>
  <r>
    <x v="1048"/>
    <x v="7"/>
    <x v="6"/>
    <s v="sarahjohnson@yahoo.com"/>
    <x v="0"/>
    <x v="0"/>
    <x v="4"/>
    <n v="15.99"/>
    <x v="9"/>
    <x v="1"/>
    <x v="0"/>
    <x v="0"/>
    <s v="check"/>
  </r>
  <r>
    <x v="1049"/>
    <x v="378"/>
    <x v="5"/>
    <s v="emilychen@gmail.com"/>
    <x v="0"/>
    <x v="0"/>
    <x v="2"/>
    <n v="15.99"/>
    <x v="42"/>
    <x v="3"/>
    <x v="3"/>
    <x v="0"/>
    <s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F514A-6AD2-468D-9279-49CA9D494BCB}" name="Revenue by Payment Method"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rowHeaderCaption="Payment Method ">
  <location ref="F36:H41" firstHeaderRow="0" firstDataRow="1" firstDataCol="1" rowPageCount="1" colPageCount="1"/>
  <pivotFields count="16">
    <pivotField showAll="0"/>
    <pivotField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items count="9">
        <item x="3"/>
        <item x="1"/>
        <item x="5"/>
        <item x="2"/>
        <item x="0"/>
        <item x="4"/>
        <item x="7"/>
        <item x="6"/>
        <item t="default"/>
      </items>
    </pivotField>
    <pivotField showAll="0"/>
    <pivotField showAll="0">
      <items count="10">
        <item x="5"/>
        <item x="8"/>
        <item x="7"/>
        <item x="1"/>
        <item x="3"/>
        <item x="6"/>
        <item x="4"/>
        <item x="2"/>
        <item x="0"/>
        <item t="default"/>
      </items>
    </pivotField>
    <pivotField showAll="0">
      <items count="7">
        <item x="3"/>
        <item x="0"/>
        <item x="1"/>
        <item x="2"/>
        <item x="5"/>
        <item x="4"/>
        <item t="default"/>
      </items>
    </pivotField>
    <pivotField showAll="0">
      <items count="7">
        <item x="4"/>
        <item x="3"/>
        <item x="5"/>
        <item x="2"/>
        <item x="0"/>
        <item x="1"/>
        <item t="default"/>
      </items>
    </pivotField>
    <pivotField numFmtId="2" showAll="0"/>
    <pivotField dataField="1" showAll="0">
      <items count="47">
        <item x="36"/>
        <item x="21"/>
        <item x="11"/>
        <item x="6"/>
        <item x="9"/>
        <item x="41"/>
        <item x="35"/>
        <item x="4"/>
        <item x="37"/>
        <item x="45"/>
        <item x="14"/>
        <item x="15"/>
        <item x="40"/>
        <item x="13"/>
        <item x="33"/>
        <item x="28"/>
        <item x="24"/>
        <item x="42"/>
        <item x="25"/>
        <item x="0"/>
        <item x="44"/>
        <item x="19"/>
        <item x="26"/>
        <item x="8"/>
        <item x="22"/>
        <item x="31"/>
        <item x="34"/>
        <item x="5"/>
        <item x="16"/>
        <item x="32"/>
        <item x="3"/>
        <item x="29"/>
        <item x="38"/>
        <item x="10"/>
        <item x="43"/>
        <item x="12"/>
        <item x="17"/>
        <item x="23"/>
        <item x="20"/>
        <item x="30"/>
        <item x="18"/>
        <item x="39"/>
        <item x="7"/>
        <item x="27"/>
        <item x="1"/>
        <item x="2"/>
        <item t="default"/>
      </items>
    </pivotField>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items count="6">
        <item x="2"/>
        <item x="0"/>
        <item x="3"/>
        <item x="1"/>
        <item x="4"/>
        <item t="default"/>
      </items>
    </pivotField>
    <pivotField axis="axisPage" multipleItemSelectionAllowed="1" showAll="0">
      <items count="4">
        <item x="1"/>
        <item x="0"/>
        <item x="2"/>
        <item t="default"/>
      </items>
    </pivotField>
    <pivotField showAll="0"/>
    <pivotField showAll="0">
      <items count="19">
        <item x="0"/>
        <item x="17"/>
        <item x="1"/>
        <item x="2"/>
        <item x="3"/>
        <item x="4"/>
        <item x="5"/>
        <item x="6"/>
        <item x="7"/>
        <item x="8"/>
        <item x="9"/>
        <item x="10"/>
        <item x="11"/>
        <item x="12"/>
        <item x="13"/>
        <item x="14"/>
        <item x="15"/>
        <item x="16"/>
        <item t="default"/>
      </items>
    </pivotField>
    <pivotField showAll="0">
      <items count="4">
        <item x="0"/>
        <item x="1"/>
        <item x="2"/>
        <item t="default"/>
      </items>
    </pivotField>
    <pivotField dragToRow="0" dragToCol="0" dragToPage="0" showAll="0" defaultSubtotal="0"/>
  </pivotFields>
  <rowFields count="1">
    <field x="9"/>
  </rowFields>
  <rowItems count="5">
    <i>
      <x v="2"/>
    </i>
    <i>
      <x/>
    </i>
    <i>
      <x v="3"/>
    </i>
    <i>
      <x v="1"/>
    </i>
    <i t="grand">
      <x/>
    </i>
  </rowItems>
  <colFields count="1">
    <field x="-2"/>
  </colFields>
  <colItems count="2">
    <i>
      <x/>
    </i>
    <i i="1">
      <x v="1"/>
    </i>
  </colItems>
  <pageFields count="1">
    <pageField fld="11" hier="-1"/>
  </pageFields>
  <dataFields count="2">
    <dataField name="Revenue " fld="8" baseField="4" baseItem="0"/>
    <dataField name="Percentage of Revenue per Payment Method" fld="8" showDataAs="percentOfCol" baseField="9" baseItem="0" numFmtId="10"/>
  </dataFields>
  <chartFormats count="12">
    <chartFormat chart="14"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38" format="6" series="1">
      <pivotArea type="data" outline="0" fieldPosition="0">
        <references count="1">
          <reference field="4294967294" count="1" selected="0">
            <x v="0"/>
          </reference>
        </references>
      </pivotArea>
    </chartFormat>
    <chartFormat chart="38" format="7">
      <pivotArea type="data" outline="0" fieldPosition="0">
        <references count="2">
          <reference field="4294967294" count="1" selected="0">
            <x v="0"/>
          </reference>
          <reference field="9" count="1" selected="0">
            <x v="0"/>
          </reference>
        </references>
      </pivotArea>
    </chartFormat>
    <chartFormat chart="38" format="8">
      <pivotArea type="data" outline="0" fieldPosition="0">
        <references count="2">
          <reference field="4294967294" count="1" selected="0">
            <x v="0"/>
          </reference>
          <reference field="9" count="1" selected="0">
            <x v="1"/>
          </reference>
        </references>
      </pivotArea>
    </chartFormat>
    <chartFormat chart="38" format="9">
      <pivotArea type="data" outline="0" fieldPosition="0">
        <references count="2">
          <reference field="4294967294" count="1" selected="0">
            <x v="0"/>
          </reference>
          <reference field="9" count="1" selected="0">
            <x v="2"/>
          </reference>
        </references>
      </pivotArea>
    </chartFormat>
    <chartFormat chart="38" format="10">
      <pivotArea type="data" outline="0" fieldPosition="0">
        <references count="2">
          <reference field="4294967294" count="1" selected="0">
            <x v="0"/>
          </reference>
          <reference field="9" count="1" selected="0">
            <x v="3"/>
          </reference>
        </references>
      </pivotArea>
    </chartFormat>
    <chartFormat chart="38" format="11" series="1">
      <pivotArea type="data" outline="0" fieldPosition="0">
        <references count="1">
          <reference field="4294967294" count="1" selected="0">
            <x v="1"/>
          </reference>
        </references>
      </pivotArea>
    </chartFormat>
    <chartFormat chart="38" format="12">
      <pivotArea type="data" outline="0" fieldPosition="0">
        <references count="2">
          <reference field="4294967294" count="1" selected="0">
            <x v="1"/>
          </reference>
          <reference field="9" count="1" selected="0">
            <x v="2"/>
          </reference>
        </references>
      </pivotArea>
    </chartFormat>
    <chartFormat chart="38" format="13">
      <pivotArea type="data" outline="0" fieldPosition="0">
        <references count="2">
          <reference field="4294967294" count="1" selected="0">
            <x v="1"/>
          </reference>
          <reference field="9" count="1" selected="0">
            <x v="0"/>
          </reference>
        </references>
      </pivotArea>
    </chartFormat>
    <chartFormat chart="38" format="14">
      <pivotArea type="data" outline="0" fieldPosition="0">
        <references count="2">
          <reference field="4294967294" count="1" selected="0">
            <x v="1"/>
          </reference>
          <reference field="9" count="1" selected="0">
            <x v="3"/>
          </reference>
        </references>
      </pivotArea>
    </chartFormat>
    <chartFormat chart="38" format="15">
      <pivotArea type="data" outline="0" fieldPosition="0">
        <references count="2">
          <reference field="4294967294" count="1" selected="0">
            <x v="1"/>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7E4E1A-CE73-4E94-A322-6E725BE25114}" name="Revenue over Tim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rowHeaderCaption="Date">
  <location ref="J11:L31" firstHeaderRow="0" firstDataRow="1" firstDataCol="1" rowPageCount="1" colPageCount="1"/>
  <pivotFields count="16">
    <pivotField showAll="0"/>
    <pivotField axis="axisRow"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pivotField showAll="0"/>
    <pivotField showAll="0"/>
    <pivotField showAll="0">
      <items count="7">
        <item x="3"/>
        <item x="0"/>
        <item x="1"/>
        <item x="2"/>
        <item x="5"/>
        <item x="4"/>
        <item t="default"/>
      </items>
    </pivotField>
    <pivotField showAll="0"/>
    <pivotField numFmtId="2" showAll="0"/>
    <pivotField dataField="1" showAll="0">
      <items count="47">
        <item x="36"/>
        <item x="21"/>
        <item x="11"/>
        <item x="6"/>
        <item x="9"/>
        <item x="41"/>
        <item x="35"/>
        <item x="4"/>
        <item x="37"/>
        <item x="45"/>
        <item x="14"/>
        <item x="15"/>
        <item x="40"/>
        <item x="13"/>
        <item x="33"/>
        <item x="28"/>
        <item x="24"/>
        <item x="42"/>
        <item x="25"/>
        <item x="0"/>
        <item x="44"/>
        <item x="19"/>
        <item x="26"/>
        <item x="8"/>
        <item x="22"/>
        <item x="31"/>
        <item x="34"/>
        <item x="5"/>
        <item x="16"/>
        <item x="32"/>
        <item x="3"/>
        <item x="29"/>
        <item x="38"/>
        <item x="10"/>
        <item x="43"/>
        <item x="12"/>
        <item x="17"/>
        <item x="23"/>
        <item x="20"/>
        <item x="30"/>
        <item x="18"/>
        <item x="39"/>
        <item x="7"/>
        <item x="27"/>
        <item x="1"/>
        <item x="2"/>
        <item t="default"/>
      </items>
    </pivotField>
    <pivotField showAll="0">
      <items count="5">
        <item x="3"/>
        <item x="1"/>
        <item x="2"/>
        <item x="0"/>
        <item t="default"/>
      </items>
    </pivotField>
    <pivotField showAll="0">
      <items count="6">
        <item x="2"/>
        <item x="0"/>
        <item x="3"/>
        <item x="1"/>
        <item x="4"/>
        <item t="default"/>
      </items>
    </pivotField>
    <pivotField axis="axisPage" multipleItemSelectionAllowed="1" showAll="0">
      <items count="4">
        <item x="1"/>
        <item x="0"/>
        <item x="2"/>
        <item t="default"/>
      </items>
    </pivotField>
    <pivotField showAll="0"/>
    <pivotField axis="axisRow" showAll="0">
      <items count="19">
        <item n="N/A values" sd="0" x="0"/>
        <item n="January 2023" sd="0" x="17"/>
        <item n="Febuary 2023" sd="0" x="1"/>
        <item n="March 2023" sd="0" x="2"/>
        <item n="April 2023" sd="0" x="3"/>
        <item n="May 2023" sd="0" x="4"/>
        <item n="June 2023" sd="0" x="5"/>
        <item n="July 2023" sd="0" x="6"/>
        <item n="August 2023" sd="0" x="7"/>
        <item n="September 2023" sd="0" x="8"/>
        <item n="October 2023" sd="0" x="9"/>
        <item n="November 2023" sd="0" x="10"/>
        <item n="December 2023" sd="0" x="11"/>
        <item n="January 2024" sd="0" x="12"/>
        <item n="Febuary 2024" sd="0" x="13"/>
        <item n="March 2024" sd="0" x="14"/>
        <item n="April 2024" sd="0" x="15"/>
        <item n="May 2024" sd="0" x="16"/>
        <item t="default" sd="0"/>
      </items>
    </pivotField>
    <pivotField axis="axisRow" showAll="0">
      <items count="4">
        <item n="N/A values" h="1" x="0"/>
        <item n="Year 2023" x="1"/>
        <item n="Year 2024" x="2"/>
        <item t="default"/>
      </items>
    </pivotField>
    <pivotField dragToRow="0" dragToCol="0" dragToPage="0" showAll="0" defaultSubtotal="0"/>
  </pivotFields>
  <rowFields count="3">
    <field x="14"/>
    <field x="13"/>
    <field x="1"/>
  </rowFields>
  <rowItems count="20">
    <i>
      <x v="1"/>
    </i>
    <i r="1">
      <x v="1"/>
    </i>
    <i r="1">
      <x v="2"/>
    </i>
    <i r="1">
      <x v="3"/>
    </i>
    <i r="1">
      <x v="4"/>
    </i>
    <i r="1">
      <x v="5"/>
    </i>
    <i r="1">
      <x v="6"/>
    </i>
    <i r="1">
      <x v="7"/>
    </i>
    <i r="1">
      <x v="8"/>
    </i>
    <i r="1">
      <x v="9"/>
    </i>
    <i r="1">
      <x v="10"/>
    </i>
    <i r="1">
      <x v="11"/>
    </i>
    <i r="1">
      <x v="12"/>
    </i>
    <i>
      <x v="2"/>
    </i>
    <i r="1">
      <x v="13"/>
    </i>
    <i r="1">
      <x v="14"/>
    </i>
    <i r="1">
      <x v="15"/>
    </i>
    <i r="1">
      <x v="16"/>
    </i>
    <i r="1">
      <x v="17"/>
    </i>
    <i t="grand">
      <x/>
    </i>
  </rowItems>
  <colFields count="1">
    <field x="-2"/>
  </colFields>
  <colItems count="2">
    <i>
      <x/>
    </i>
    <i i="1">
      <x v="1"/>
    </i>
  </colItems>
  <pageFields count="1">
    <pageField fld="11" hier="-1"/>
  </pageFields>
  <dataFields count="2">
    <dataField name="Total Revenue" fld="8" baseField="14" baseItem="1"/>
    <dataField name="Total Revenue 2" fld="8" baseField="14" baseItem="1"/>
  </dataFields>
  <chartFormats count="5">
    <chartFormat chart="4"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26" format="6" series="1">
      <pivotArea type="data" outline="0" fieldPosition="0">
        <references count="1">
          <reference field="4294967294" count="1" selected="0">
            <x v="0"/>
          </reference>
        </references>
      </pivotArea>
    </chartFormat>
    <chartFormat chart="26" format="7" series="1">
      <pivotArea type="data" outline="0" fieldPosition="0">
        <references count="1">
          <reference field="4294967294" count="1" selected="0">
            <x v="1"/>
          </reference>
        </references>
      </pivotArea>
    </chartFormat>
    <chartFormat chart="12"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054603-526E-472A-8A0A-D8C786A00C26}" name="Revenue by Catagor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8" rowHeaderCaption="Category ">
  <location ref="F21:G28" firstHeaderRow="1" firstDataRow="1" firstDataCol="1" rowPageCount="1" colPageCount="1"/>
  <pivotFields count="16">
    <pivotField showAll="0"/>
    <pivotField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items count="9">
        <item x="3"/>
        <item x="1"/>
        <item x="5"/>
        <item x="2"/>
        <item x="0"/>
        <item x="4"/>
        <item x="7"/>
        <item x="6"/>
        <item t="default"/>
      </items>
    </pivotField>
    <pivotField showAll="0"/>
    <pivotField showAll="0">
      <items count="10">
        <item x="5"/>
        <item x="8"/>
        <item x="7"/>
        <item x="1"/>
        <item x="3"/>
        <item x="6"/>
        <item x="4"/>
        <item x="2"/>
        <item x="0"/>
        <item t="default"/>
      </items>
    </pivotField>
    <pivotField axis="axisRow" showAll="0" sortType="descending">
      <items count="7">
        <item x="3"/>
        <item x="0"/>
        <item x="1"/>
        <item x="2"/>
        <item x="5"/>
        <item x="4"/>
        <item t="default"/>
      </items>
      <autoSortScope>
        <pivotArea dataOnly="0" outline="0" fieldPosition="0">
          <references count="1">
            <reference field="4294967294" count="1" selected="0">
              <x v="0"/>
            </reference>
          </references>
        </pivotArea>
      </autoSortScope>
    </pivotField>
    <pivotField showAll="0">
      <items count="7">
        <item x="4"/>
        <item x="3"/>
        <item x="5"/>
        <item x="2"/>
        <item x="0"/>
        <item x="1"/>
        <item t="default"/>
      </items>
    </pivotField>
    <pivotField numFmtId="2" showAll="0"/>
    <pivotField dataField="1" showAll="0">
      <items count="47">
        <item x="36"/>
        <item x="21"/>
        <item x="11"/>
        <item x="6"/>
        <item x="9"/>
        <item x="41"/>
        <item x="35"/>
        <item x="4"/>
        <item x="37"/>
        <item x="45"/>
        <item x="14"/>
        <item x="15"/>
        <item x="40"/>
        <item x="13"/>
        <item x="33"/>
        <item x="28"/>
        <item x="24"/>
        <item x="42"/>
        <item x="25"/>
        <item x="0"/>
        <item x="44"/>
        <item x="19"/>
        <item x="26"/>
        <item x="8"/>
        <item x="22"/>
        <item x="31"/>
        <item x="34"/>
        <item x="5"/>
        <item x="16"/>
        <item x="32"/>
        <item x="3"/>
        <item x="29"/>
        <item x="38"/>
        <item x="10"/>
        <item x="43"/>
        <item x="12"/>
        <item x="17"/>
        <item x="23"/>
        <item x="20"/>
        <item x="30"/>
        <item x="18"/>
        <item x="39"/>
        <item x="7"/>
        <item x="27"/>
        <item x="1"/>
        <item x="2"/>
        <item t="default"/>
      </items>
    </pivotField>
    <pivotField showAll="0">
      <items count="5">
        <item x="3"/>
        <item x="1"/>
        <item x="2"/>
        <item x="0"/>
        <item t="default"/>
      </items>
    </pivotField>
    <pivotField showAll="0">
      <items count="6">
        <item x="2"/>
        <item x="0"/>
        <item x="3"/>
        <item x="1"/>
        <item x="4"/>
        <item t="default"/>
      </items>
    </pivotField>
    <pivotField axis="axisPage" multipleItemSelectionAllowed="1" showAll="0">
      <items count="4">
        <item x="1"/>
        <item x="0"/>
        <item x="2"/>
        <item t="default"/>
      </items>
    </pivotField>
    <pivotField showAll="0"/>
    <pivotField showAll="0">
      <items count="19">
        <item x="0"/>
        <item x="17"/>
        <item x="1"/>
        <item x="2"/>
        <item x="3"/>
        <item x="4"/>
        <item x="5"/>
        <item x="6"/>
        <item x="7"/>
        <item x="8"/>
        <item x="9"/>
        <item x="10"/>
        <item x="11"/>
        <item x="12"/>
        <item x="13"/>
        <item x="14"/>
        <item x="15"/>
        <item x="16"/>
        <item t="default"/>
      </items>
    </pivotField>
    <pivotField showAll="0">
      <items count="4">
        <item x="0"/>
        <item x="1"/>
        <item x="2"/>
        <item t="default"/>
      </items>
    </pivotField>
    <pivotField dragToRow="0" dragToCol="0" dragToPage="0" showAll="0" defaultSubtotal="0"/>
  </pivotFields>
  <rowFields count="1">
    <field x="5"/>
  </rowFields>
  <rowItems count="7">
    <i>
      <x v="2"/>
    </i>
    <i>
      <x v="4"/>
    </i>
    <i>
      <x v="3"/>
    </i>
    <i>
      <x/>
    </i>
    <i>
      <x v="1"/>
    </i>
    <i>
      <x v="5"/>
    </i>
    <i t="grand">
      <x/>
    </i>
  </rowItems>
  <colItems count="1">
    <i/>
  </colItems>
  <pageFields count="1">
    <pageField fld="11" hier="-1"/>
  </pageFields>
  <dataFields count="1">
    <dataField name="Revenue " fld="8" baseField="4" baseItem="0"/>
  </dataFields>
  <chartFormats count="4">
    <chartFormat chart="14"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43"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22583F-708D-4372-B146-EAF692AF2C4E}"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rowHeaderCaption="Catagory ">
  <location ref="B45:D46" firstHeaderRow="0" firstDataRow="1" firstDataCol="0" rowPageCount="1" colPageCount="1"/>
  <pivotFields count="16">
    <pivotField dataField="1" showAll="0">
      <items count="10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t="default"/>
      </items>
    </pivotField>
    <pivotField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items count="9">
        <item x="3"/>
        <item x="1"/>
        <item x="5"/>
        <item x="2"/>
        <item x="0"/>
        <item x="4"/>
        <item x="7"/>
        <item x="6"/>
        <item t="default"/>
      </items>
    </pivotField>
    <pivotField showAll="0"/>
    <pivotField showAll="0">
      <items count="10">
        <item x="5"/>
        <item x="8"/>
        <item x="7"/>
        <item x="1"/>
        <item x="3"/>
        <item x="6"/>
        <item x="4"/>
        <item x="2"/>
        <item x="0"/>
        <item t="default"/>
      </items>
    </pivotField>
    <pivotField showAll="0">
      <items count="7">
        <item x="3"/>
        <item x="0"/>
        <item x="1"/>
        <item x="2"/>
        <item x="5"/>
        <item x="4"/>
        <item t="default"/>
      </items>
    </pivotField>
    <pivotField showAll="0">
      <items count="7">
        <item x="4"/>
        <item x="3"/>
        <item x="5"/>
        <item x="2"/>
        <item x="0"/>
        <item x="1"/>
        <item t="default"/>
      </items>
    </pivotField>
    <pivotField numFmtId="2" showAll="0"/>
    <pivotField dataField="1" showAll="0">
      <items count="47">
        <item x="36"/>
        <item x="21"/>
        <item x="11"/>
        <item x="6"/>
        <item x="9"/>
        <item x="41"/>
        <item x="35"/>
        <item x="4"/>
        <item x="37"/>
        <item x="45"/>
        <item x="14"/>
        <item x="15"/>
        <item x="40"/>
        <item x="13"/>
        <item x="33"/>
        <item x="28"/>
        <item x="24"/>
        <item x="42"/>
        <item x="25"/>
        <item x="0"/>
        <item x="44"/>
        <item x="19"/>
        <item x="26"/>
        <item x="8"/>
        <item x="22"/>
        <item x="31"/>
        <item x="34"/>
        <item x="5"/>
        <item x="16"/>
        <item x="32"/>
        <item x="3"/>
        <item x="29"/>
        <item x="38"/>
        <item x="10"/>
        <item x="43"/>
        <item x="12"/>
        <item x="17"/>
        <item x="23"/>
        <item x="20"/>
        <item x="30"/>
        <item x="18"/>
        <item x="39"/>
        <item x="7"/>
        <item x="27"/>
        <item x="1"/>
        <item x="2"/>
        <item t="default"/>
      </items>
    </pivotField>
    <pivotField showAll="0">
      <items count="5">
        <item x="3"/>
        <item x="1"/>
        <item x="2"/>
        <item x="0"/>
        <item t="default"/>
      </items>
    </pivotField>
    <pivotField showAll="0">
      <items count="6">
        <item x="2"/>
        <item x="0"/>
        <item x="3"/>
        <item x="1"/>
        <item x="4"/>
        <item t="default"/>
      </items>
    </pivotField>
    <pivotField axis="axisPage" multipleItemSelectionAllowed="1" showAll="0">
      <items count="4">
        <item x="1"/>
        <item x="0"/>
        <item x="2"/>
        <item t="default"/>
      </items>
    </pivotField>
    <pivotField showAll="0"/>
    <pivotField showAll="0">
      <items count="19">
        <item x="0"/>
        <item x="17"/>
        <item x="1"/>
        <item x="2"/>
        <item x="3"/>
        <item x="4"/>
        <item x="5"/>
        <item x="6"/>
        <item x="7"/>
        <item x="8"/>
        <item x="9"/>
        <item x="10"/>
        <item x="11"/>
        <item x="12"/>
        <item x="13"/>
        <item x="14"/>
        <item x="15"/>
        <item x="16"/>
        <item t="default"/>
      </items>
    </pivotField>
    <pivotField showAll="0">
      <items count="4">
        <item x="0"/>
        <item x="1"/>
        <item x="2"/>
        <item t="default"/>
      </items>
    </pivotField>
    <pivotField dragToRow="0" dragToCol="0" dragToPage="0" showAll="0" defaultSubtotal="0"/>
  </pivotFields>
  <rowItems count="1">
    <i/>
  </rowItems>
  <colFields count="1">
    <field x="-2"/>
  </colFields>
  <colItems count="3">
    <i>
      <x/>
    </i>
    <i i="1">
      <x v="1"/>
    </i>
    <i i="2">
      <x v="2"/>
    </i>
  </colItems>
  <pageFields count="1">
    <pageField fld="11" hier="-1"/>
  </pageFields>
  <dataFields count="3">
    <dataField name="Number of Customers" fld="0" subtotal="count" baseField="0" baseItem="1"/>
    <dataField name="Total Revenue" fld="8" baseField="0" baseItem="1"/>
    <dataField name="Average Revenue per Customer" fld="8" subtotal="average" baseField="0" baseItem="2"/>
  </dataFields>
  <chartFormats count="2">
    <chartFormat chart="14" format="1" series="1">
      <pivotArea type="data" outline="0" fieldPosition="0">
        <references count="1">
          <reference field="4294967294" count="1" selected="0">
            <x v="2"/>
          </reference>
        </references>
      </pivotArea>
    </chartFormat>
    <chartFormat chart="22"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D56AC9-BA85-4360-BCFD-68E0286C1344}" name="Revenue by Stat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State">
  <location ref="J36:K42" firstHeaderRow="1" firstDataRow="1" firstDataCol="1" rowPageCount="1" colPageCount="1"/>
  <pivotFields count="16">
    <pivotField showAll="0"/>
    <pivotField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items count="9">
        <item x="3"/>
        <item x="1"/>
        <item x="5"/>
        <item x="2"/>
        <item x="0"/>
        <item x="4"/>
        <item x="7"/>
        <item x="6"/>
        <item t="default"/>
      </items>
    </pivotField>
    <pivotField showAll="0"/>
    <pivotField showAll="0">
      <items count="10">
        <item x="5"/>
        <item x="8"/>
        <item x="7"/>
        <item x="1"/>
        <item x="3"/>
        <item x="6"/>
        <item x="4"/>
        <item x="2"/>
        <item x="0"/>
        <item t="default"/>
      </items>
    </pivotField>
    <pivotField showAll="0">
      <items count="7">
        <item x="3"/>
        <item x="0"/>
        <item x="1"/>
        <item x="2"/>
        <item x="5"/>
        <item x="4"/>
        <item t="default"/>
      </items>
    </pivotField>
    <pivotField showAll="0">
      <items count="7">
        <item x="4"/>
        <item x="3"/>
        <item x="5"/>
        <item x="2"/>
        <item x="0"/>
        <item x="1"/>
        <item t="default"/>
      </items>
    </pivotField>
    <pivotField numFmtId="2" showAll="0"/>
    <pivotField dataField="1" showAll="0">
      <items count="47">
        <item x="36"/>
        <item x="21"/>
        <item x="11"/>
        <item x="6"/>
        <item x="9"/>
        <item x="41"/>
        <item x="35"/>
        <item x="4"/>
        <item x="37"/>
        <item x="45"/>
        <item x="14"/>
        <item x="15"/>
        <item x="40"/>
        <item x="13"/>
        <item x="33"/>
        <item x="28"/>
        <item x="24"/>
        <item x="42"/>
        <item x="25"/>
        <item x="0"/>
        <item x="44"/>
        <item x="19"/>
        <item x="26"/>
        <item x="8"/>
        <item x="22"/>
        <item x="31"/>
        <item x="34"/>
        <item x="5"/>
        <item x="16"/>
        <item x="32"/>
        <item x="3"/>
        <item x="29"/>
        <item x="38"/>
        <item x="10"/>
        <item x="43"/>
        <item x="12"/>
        <item x="17"/>
        <item x="23"/>
        <item x="20"/>
        <item x="30"/>
        <item x="18"/>
        <item x="39"/>
        <item x="7"/>
        <item x="27"/>
        <item x="1"/>
        <item x="2"/>
        <item t="default"/>
      </items>
    </pivotField>
    <pivotField showAll="0">
      <items count="5">
        <item x="3"/>
        <item x="1"/>
        <item x="2"/>
        <item x="0"/>
        <item t="default"/>
      </items>
    </pivotField>
    <pivotField axis="axisRow" showAll="0" sortType="descending">
      <items count="6">
        <item x="2"/>
        <item x="0"/>
        <item x="3"/>
        <item x="1"/>
        <item x="4"/>
        <item t="default"/>
      </items>
      <autoSortScope>
        <pivotArea dataOnly="0" outline="0" fieldPosition="0">
          <references count="1">
            <reference field="4294967294" count="1" selected="0">
              <x v="0"/>
            </reference>
          </references>
        </pivotArea>
      </autoSortScope>
    </pivotField>
    <pivotField axis="axisPage" multipleItemSelectionAllowed="1" showAll="0">
      <items count="4">
        <item x="1"/>
        <item x="0"/>
        <item x="2"/>
        <item t="default"/>
      </items>
    </pivotField>
    <pivotField showAll="0"/>
    <pivotField showAll="0">
      <items count="19">
        <item x="0"/>
        <item x="17"/>
        <item x="1"/>
        <item x="2"/>
        <item x="3"/>
        <item x="4"/>
        <item x="5"/>
        <item x="6"/>
        <item x="7"/>
        <item x="8"/>
        <item x="9"/>
        <item x="10"/>
        <item x="11"/>
        <item x="12"/>
        <item x="13"/>
        <item x="14"/>
        <item x="15"/>
        <item x="16"/>
        <item t="default"/>
      </items>
    </pivotField>
    <pivotField showAll="0">
      <items count="4">
        <item x="0"/>
        <item x="1"/>
        <item x="2"/>
        <item t="default"/>
      </items>
    </pivotField>
    <pivotField dragToRow="0" dragToCol="0" dragToPage="0" showAll="0" defaultSubtotal="0"/>
  </pivotFields>
  <rowFields count="1">
    <field x="10"/>
  </rowFields>
  <rowItems count="6">
    <i>
      <x v="1"/>
    </i>
    <i>
      <x/>
    </i>
    <i>
      <x v="2"/>
    </i>
    <i>
      <x v="3"/>
    </i>
    <i>
      <x v="4"/>
    </i>
    <i t="grand">
      <x/>
    </i>
  </rowItems>
  <colItems count="1">
    <i/>
  </colItems>
  <pageFields count="1">
    <pageField fld="11" hier="-1"/>
  </pageFields>
  <dataFields count="1">
    <dataField name="Revenue " fld="8" baseField="4" baseItem="0"/>
  </dataFields>
  <chartFormats count="4">
    <chartFormat chart="14"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7B8D6A-2550-45DC-9874-F7D4C0F0AED0}" name="Regional Category Prefrence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ategory" colHeaderCaption="State">
  <location ref="B7:H15" firstHeaderRow="1" firstDataRow="2" firstDataCol="1" rowPageCount="1" colPageCount="1"/>
  <pivotFields count="16">
    <pivotField showAll="0"/>
    <pivotField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pivotField showAll="0"/>
    <pivotField showAll="0"/>
    <pivotField axis="axisRow" showAll="0" sortType="descending">
      <items count="7">
        <item x="4"/>
        <item x="5"/>
        <item x="2"/>
        <item x="1"/>
        <item x="0"/>
        <item x="3"/>
        <item t="default"/>
      </items>
      <autoSortScope>
        <pivotArea dataOnly="0" outline="0" fieldPosition="0">
          <references count="1">
            <reference field="4294967294" count="1" selected="0">
              <x v="0"/>
            </reference>
          </references>
        </pivotArea>
      </autoSortScope>
    </pivotField>
    <pivotField showAll="0"/>
    <pivotField numFmtId="2" showAll="0"/>
    <pivotField dataField="1" showAll="0">
      <items count="47">
        <item x="36"/>
        <item x="21"/>
        <item x="11"/>
        <item x="6"/>
        <item x="9"/>
        <item x="41"/>
        <item x="35"/>
        <item x="4"/>
        <item x="37"/>
        <item x="45"/>
        <item x="14"/>
        <item x="15"/>
        <item x="40"/>
        <item x="13"/>
        <item x="33"/>
        <item x="28"/>
        <item x="24"/>
        <item x="42"/>
        <item x="25"/>
        <item x="0"/>
        <item x="44"/>
        <item x="19"/>
        <item x="26"/>
        <item x="8"/>
        <item x="22"/>
        <item x="31"/>
        <item x="34"/>
        <item x="5"/>
        <item x="16"/>
        <item x="32"/>
        <item x="3"/>
        <item x="29"/>
        <item x="38"/>
        <item x="10"/>
        <item x="43"/>
        <item x="12"/>
        <item x="17"/>
        <item x="23"/>
        <item x="20"/>
        <item x="30"/>
        <item x="18"/>
        <item x="39"/>
        <item x="7"/>
        <item x="27"/>
        <item x="1"/>
        <item x="2"/>
        <item t="default"/>
      </items>
    </pivotField>
    <pivotField showAll="0">
      <items count="5">
        <item x="3"/>
        <item x="1"/>
        <item x="2"/>
        <item x="0"/>
        <item t="default"/>
      </items>
    </pivotField>
    <pivotField axis="axisCol" showAll="0">
      <items count="6">
        <item x="2"/>
        <item x="0"/>
        <item x="3"/>
        <item x="1"/>
        <item x="4"/>
        <item t="default"/>
      </items>
    </pivotField>
    <pivotField axis="axisPage" multipleItemSelectionAllowed="1" showAll="0">
      <items count="4">
        <item x="1"/>
        <item x="0"/>
        <item x="2"/>
        <item t="default"/>
      </items>
    </pivotField>
    <pivotField showAll="0"/>
    <pivotField showAll="0">
      <items count="19">
        <item x="0"/>
        <item x="17"/>
        <item x="1"/>
        <item x="2"/>
        <item x="3"/>
        <item x="4"/>
        <item x="5"/>
        <item x="6"/>
        <item x="7"/>
        <item x="8"/>
        <item x="9"/>
        <item x="10"/>
        <item x="11"/>
        <item x="12"/>
        <item x="13"/>
        <item x="14"/>
        <item x="15"/>
        <item x="16"/>
        <item t="default"/>
      </items>
    </pivotField>
    <pivotField showAll="0">
      <items count="4">
        <item x="0"/>
        <item x="1"/>
        <item x="2"/>
        <item t="default"/>
      </items>
    </pivotField>
    <pivotField dragToRow="0" dragToCol="0" dragToPage="0" showAll="0" defaultSubtotal="0"/>
  </pivotFields>
  <rowFields count="1">
    <field x="5"/>
  </rowFields>
  <rowItems count="7">
    <i>
      <x v="3"/>
    </i>
    <i>
      <x v="1"/>
    </i>
    <i>
      <x v="2"/>
    </i>
    <i>
      <x v="5"/>
    </i>
    <i>
      <x v="4"/>
    </i>
    <i>
      <x/>
    </i>
    <i t="grand">
      <x/>
    </i>
  </rowItems>
  <colFields count="1">
    <field x="10"/>
  </colFields>
  <colItems count="6">
    <i>
      <x/>
    </i>
    <i>
      <x v="1"/>
    </i>
    <i>
      <x v="2"/>
    </i>
    <i>
      <x v="3"/>
    </i>
    <i>
      <x v="4"/>
    </i>
    <i t="grand">
      <x/>
    </i>
  </colItems>
  <pageFields count="1">
    <pageField fld="11" hier="-1"/>
  </pageFields>
  <dataFields count="1">
    <dataField name="Revenue by Category for each State" fld="8" baseField="10" baseItem="0"/>
  </dataFields>
  <chartFormats count="10">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0" format="3" series="1">
      <pivotArea type="data" outline="0" fieldPosition="0">
        <references count="2">
          <reference field="4294967294" count="1" selected="0">
            <x v="0"/>
          </reference>
          <reference field="10" count="1" selected="0">
            <x v="3"/>
          </reference>
        </references>
      </pivotArea>
    </chartFormat>
    <chartFormat chart="0" format="4" series="1">
      <pivotArea type="data" outline="0" fieldPosition="0">
        <references count="2">
          <reference field="4294967294" count="1" selected="0">
            <x v="0"/>
          </reference>
          <reference field="10" count="1" selected="0">
            <x v="4"/>
          </reference>
        </references>
      </pivotArea>
    </chartFormat>
    <chartFormat chart="4" format="10" series="1">
      <pivotArea type="data" outline="0" fieldPosition="0">
        <references count="2">
          <reference field="4294967294" count="1" selected="0">
            <x v="0"/>
          </reference>
          <reference field="10" count="1" selected="0">
            <x v="0"/>
          </reference>
        </references>
      </pivotArea>
    </chartFormat>
    <chartFormat chart="4" format="11" series="1">
      <pivotArea type="data" outline="0" fieldPosition="0">
        <references count="2">
          <reference field="4294967294" count="1" selected="0">
            <x v="0"/>
          </reference>
          <reference field="10" count="1" selected="0">
            <x v="1"/>
          </reference>
        </references>
      </pivotArea>
    </chartFormat>
    <chartFormat chart="4" format="12" series="1">
      <pivotArea type="data" outline="0" fieldPosition="0">
        <references count="2">
          <reference field="4294967294" count="1" selected="0">
            <x v="0"/>
          </reference>
          <reference field="10" count="1" selected="0">
            <x v="2"/>
          </reference>
        </references>
      </pivotArea>
    </chartFormat>
    <chartFormat chart="4" format="13" series="1">
      <pivotArea type="data" outline="0" fieldPosition="0">
        <references count="2">
          <reference field="4294967294" count="1" selected="0">
            <x v="0"/>
          </reference>
          <reference field="10" count="1" selected="0">
            <x v="3"/>
          </reference>
        </references>
      </pivotArea>
    </chartFormat>
    <chartFormat chart="4" format="14" series="1">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A1FE73A-3177-4F98-9D8D-54E07B87A17A}" name="Total Revenue by Produc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rowHeaderCaption="Product ">
  <location ref="B21:C31" firstHeaderRow="1" firstDataRow="1" firstDataCol="1" rowPageCount="1" colPageCount="1"/>
  <pivotFields count="16">
    <pivotField showAll="0"/>
    <pivotField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items count="9">
        <item x="3"/>
        <item x="1"/>
        <item x="5"/>
        <item x="2"/>
        <item x="0"/>
        <item x="4"/>
        <item x="7"/>
        <item x="6"/>
        <item t="default"/>
      </items>
    </pivotField>
    <pivotField showAll="0"/>
    <pivotField axis="axisRow" showAll="0" sortType="descending">
      <items count="10">
        <item x="0"/>
        <item x="2"/>
        <item x="4"/>
        <item x="6"/>
        <item x="3"/>
        <item x="1"/>
        <item x="7"/>
        <item x="8"/>
        <item x="5"/>
        <item t="default"/>
      </items>
      <autoSortScope>
        <pivotArea dataOnly="0" outline="0" fieldPosition="0">
          <references count="1">
            <reference field="4294967294" count="1" selected="0">
              <x v="0"/>
            </reference>
          </references>
        </pivotArea>
      </autoSortScope>
    </pivotField>
    <pivotField showAll="0">
      <items count="7">
        <item x="3"/>
        <item x="0"/>
        <item x="1"/>
        <item x="2"/>
        <item x="5"/>
        <item x="4"/>
        <item t="default"/>
      </items>
    </pivotField>
    <pivotField showAll="0">
      <items count="7">
        <item x="4"/>
        <item x="3"/>
        <item x="5"/>
        <item x="2"/>
        <item x="0"/>
        <item x="1"/>
        <item t="default"/>
      </items>
    </pivotField>
    <pivotField numFmtId="2" showAll="0"/>
    <pivotField dataField="1" showAll="0">
      <items count="47">
        <item x="36"/>
        <item x="21"/>
        <item x="11"/>
        <item x="6"/>
        <item x="9"/>
        <item x="41"/>
        <item x="35"/>
        <item x="4"/>
        <item x="37"/>
        <item x="45"/>
        <item x="14"/>
        <item x="15"/>
        <item x="40"/>
        <item x="13"/>
        <item x="33"/>
        <item x="28"/>
        <item x="24"/>
        <item x="42"/>
        <item x="25"/>
        <item x="0"/>
        <item x="44"/>
        <item x="19"/>
        <item x="26"/>
        <item x="8"/>
        <item x="22"/>
        <item x="31"/>
        <item x="34"/>
        <item x="5"/>
        <item x="16"/>
        <item x="32"/>
        <item x="3"/>
        <item x="29"/>
        <item x="38"/>
        <item x="10"/>
        <item x="43"/>
        <item x="12"/>
        <item x="17"/>
        <item x="23"/>
        <item x="20"/>
        <item x="30"/>
        <item x="18"/>
        <item x="39"/>
        <item x="7"/>
        <item x="27"/>
        <item x="1"/>
        <item x="2"/>
        <item t="default"/>
      </items>
    </pivotField>
    <pivotField showAll="0">
      <items count="5">
        <item x="3"/>
        <item x="1"/>
        <item x="2"/>
        <item x="0"/>
        <item t="default"/>
      </items>
    </pivotField>
    <pivotField showAll="0">
      <items count="6">
        <item x="2"/>
        <item x="0"/>
        <item x="3"/>
        <item x="1"/>
        <item x="4"/>
        <item t="default"/>
      </items>
    </pivotField>
    <pivotField axis="axisPage" multipleItemSelectionAllowed="1" showAll="0">
      <items count="4">
        <item x="1"/>
        <item x="0"/>
        <item x="2"/>
        <item t="default"/>
      </items>
    </pivotField>
    <pivotField showAll="0"/>
    <pivotField showAll="0">
      <items count="19">
        <item x="0"/>
        <item x="17"/>
        <item x="1"/>
        <item x="2"/>
        <item x="3"/>
        <item x="4"/>
        <item x="5"/>
        <item x="6"/>
        <item x="7"/>
        <item x="8"/>
        <item x="9"/>
        <item x="10"/>
        <item x="11"/>
        <item x="12"/>
        <item x="13"/>
        <item x="14"/>
        <item x="15"/>
        <item x="16"/>
        <item t="default"/>
      </items>
    </pivotField>
    <pivotField showAll="0">
      <items count="4">
        <item x="0"/>
        <item x="1"/>
        <item x="2"/>
        <item t="default"/>
      </items>
    </pivotField>
    <pivotField dragToRow="0" dragToCol="0" dragToPage="0" showAll="0" defaultSubtotal="0"/>
  </pivotFields>
  <rowFields count="1">
    <field x="4"/>
  </rowFields>
  <rowItems count="10">
    <i>
      <x v="5"/>
    </i>
    <i>
      <x v="1"/>
    </i>
    <i>
      <x v="8"/>
    </i>
    <i>
      <x v="6"/>
    </i>
    <i>
      <x v="4"/>
    </i>
    <i>
      <x v="7"/>
    </i>
    <i>
      <x/>
    </i>
    <i>
      <x v="2"/>
    </i>
    <i>
      <x v="3"/>
    </i>
    <i t="grand">
      <x/>
    </i>
  </rowItems>
  <colItems count="1">
    <i/>
  </colItems>
  <pageFields count="1">
    <pageField fld="11" hier="-1"/>
  </pageFields>
  <dataFields count="1">
    <dataField name="Revenue " fld="8" baseField="4" baseItem="0"/>
  </dataFields>
  <chartFormats count="2">
    <chartFormat chart="14"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52CC9F-3674-45BB-A5E0-D9A7E202406D}" name="Revenue by Order Statu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Order Status">
  <location ref="B34:D38" firstHeaderRow="0" firstDataRow="1" firstDataCol="1"/>
  <pivotFields count="16">
    <pivotField showAll="0"/>
    <pivotField showAll="0">
      <items count="380">
        <item x="7"/>
        <item x="276"/>
        <item x="110"/>
        <item x="24"/>
        <item x="328"/>
        <item x="109"/>
        <item x="23"/>
        <item x="319"/>
        <item x="130"/>
        <item x="236"/>
        <item x="294"/>
        <item x="94"/>
        <item x="88"/>
        <item x="350"/>
        <item x="158"/>
        <item x="105"/>
        <item x="214"/>
        <item x="304"/>
        <item x="48"/>
        <item x="99"/>
        <item x="253"/>
        <item x="366"/>
        <item x="317"/>
        <item x="70"/>
        <item x="86"/>
        <item x="374"/>
        <item x="173"/>
        <item x="146"/>
        <item x="81"/>
        <item x="371"/>
        <item x="89"/>
        <item x="117"/>
        <item x="39"/>
        <item x="351"/>
        <item x="316"/>
        <item x="108"/>
        <item x="29"/>
        <item x="164"/>
        <item x="119"/>
        <item x="53"/>
        <item x="198"/>
        <item x="229"/>
        <item x="226"/>
        <item x="42"/>
        <item x="353"/>
        <item x="0"/>
        <item x="1"/>
        <item x="344"/>
        <item x="13"/>
        <item x="137"/>
        <item x="246"/>
        <item x="96"/>
        <item x="306"/>
        <item x="31"/>
        <item x="178"/>
        <item x="131"/>
        <item x="358"/>
        <item x="14"/>
        <item x="359"/>
        <item x="285"/>
        <item x="334"/>
        <item x="21"/>
        <item x="122"/>
        <item x="2"/>
        <item x="347"/>
        <item x="136"/>
        <item x="368"/>
        <item x="121"/>
        <item x="322"/>
        <item x="342"/>
        <item x="56"/>
        <item x="124"/>
        <item x="343"/>
        <item x="101"/>
        <item x="87"/>
        <item x="217"/>
        <item x="174"/>
        <item x="208"/>
        <item x="240"/>
        <item x="224"/>
        <item x="206"/>
        <item x="313"/>
        <item x="377"/>
        <item x="75"/>
        <item x="147"/>
        <item x="193"/>
        <item x="338"/>
        <item x="259"/>
        <item x="153"/>
        <item x="73"/>
        <item x="192"/>
        <item x="238"/>
        <item x="67"/>
        <item x="247"/>
        <item x="335"/>
        <item x="95"/>
        <item x="187"/>
        <item x="143"/>
        <item x="3"/>
        <item x="155"/>
        <item x="325"/>
        <item x="40"/>
        <item x="234"/>
        <item x="142"/>
        <item x="311"/>
        <item x="185"/>
        <item x="320"/>
        <item x="196"/>
        <item x="183"/>
        <item x="296"/>
        <item x="169"/>
        <item x="191"/>
        <item x="172"/>
        <item x="230"/>
        <item x="44"/>
        <item x="289"/>
        <item x="204"/>
        <item x="10"/>
        <item x="298"/>
        <item x="60"/>
        <item x="361"/>
        <item x="310"/>
        <item x="150"/>
        <item x="348"/>
        <item x="161"/>
        <item x="134"/>
        <item x="221"/>
        <item x="91"/>
        <item x="278"/>
        <item x="188"/>
        <item x="222"/>
        <item x="35"/>
        <item x="135"/>
        <item x="280"/>
        <item x="11"/>
        <item x="170"/>
        <item x="301"/>
        <item x="295"/>
        <item x="141"/>
        <item x="309"/>
        <item x="46"/>
        <item x="47"/>
        <item x="242"/>
        <item x="291"/>
        <item x="288"/>
        <item x="263"/>
        <item x="331"/>
        <item x="360"/>
        <item x="312"/>
        <item x="269"/>
        <item x="212"/>
        <item x="265"/>
        <item x="76"/>
        <item x="227"/>
        <item x="68"/>
        <item x="305"/>
        <item x="200"/>
        <item x="315"/>
        <item x="363"/>
        <item x="255"/>
        <item x="182"/>
        <item x="219"/>
        <item x="216"/>
        <item x="261"/>
        <item x="165"/>
        <item x="375"/>
        <item x="36"/>
        <item x="346"/>
        <item x="378"/>
        <item x="148"/>
        <item x="337"/>
        <item x="260"/>
        <item x="256"/>
        <item x="55"/>
        <item x="308"/>
        <item x="163"/>
        <item x="157"/>
        <item x="271"/>
        <item x="52"/>
        <item x="102"/>
        <item x="128"/>
        <item x="251"/>
        <item x="205"/>
        <item x="290"/>
        <item x="287"/>
        <item x="194"/>
        <item x="57"/>
        <item x="123"/>
        <item x="16"/>
        <item x="66"/>
        <item x="302"/>
        <item x="103"/>
        <item x="283"/>
        <item x="275"/>
        <item x="195"/>
        <item x="215"/>
        <item x="25"/>
        <item x="210"/>
        <item x="284"/>
        <item x="330"/>
        <item x="249"/>
        <item x="235"/>
        <item x="61"/>
        <item x="274"/>
        <item x="171"/>
        <item x="115"/>
        <item x="93"/>
        <item x="112"/>
        <item x="85"/>
        <item x="154"/>
        <item x="373"/>
        <item x="151"/>
        <item x="149"/>
        <item x="340"/>
        <item x="69"/>
        <item x="197"/>
        <item x="300"/>
        <item x="83"/>
        <item x="365"/>
        <item x="38"/>
        <item x="189"/>
        <item x="9"/>
        <item x="177"/>
        <item x="272"/>
        <item x="17"/>
        <item x="250"/>
        <item x="132"/>
        <item x="270"/>
        <item x="168"/>
        <item x="159"/>
        <item x="167"/>
        <item x="30"/>
        <item x="279"/>
        <item x="166"/>
        <item x="77"/>
        <item x="54"/>
        <item x="65"/>
        <item x="144"/>
        <item x="175"/>
        <item x="329"/>
        <item x="181"/>
        <item x="34"/>
        <item x="233"/>
        <item x="140"/>
        <item x="231"/>
        <item x="239"/>
        <item x="180"/>
        <item x="252"/>
        <item x="267"/>
        <item x="237"/>
        <item x="20"/>
        <item x="211"/>
        <item x="203"/>
        <item x="244"/>
        <item x="120"/>
        <item x="41"/>
        <item x="27"/>
        <item x="228"/>
        <item x="127"/>
        <item x="318"/>
        <item x="209"/>
        <item x="186"/>
        <item x="58"/>
        <item x="107"/>
        <item x="51"/>
        <item x="202"/>
        <item x="106"/>
        <item x="138"/>
        <item x="297"/>
        <item x="321"/>
        <item x="370"/>
        <item x="369"/>
        <item x="273"/>
        <item x="357"/>
        <item x="268"/>
        <item x="45"/>
        <item x="364"/>
        <item x="43"/>
        <item x="118"/>
        <item x="64"/>
        <item x="113"/>
        <item x="262"/>
        <item x="281"/>
        <item x="33"/>
        <item x="72"/>
        <item x="376"/>
        <item x="74"/>
        <item x="286"/>
        <item x="18"/>
        <item x="116"/>
        <item x="341"/>
        <item x="63"/>
        <item x="125"/>
        <item x="225"/>
        <item x="59"/>
        <item x="104"/>
        <item x="367"/>
        <item x="299"/>
        <item x="90"/>
        <item x="50"/>
        <item x="133"/>
        <item x="339"/>
        <item x="277"/>
        <item x="22"/>
        <item x="97"/>
        <item x="333"/>
        <item x="258"/>
        <item x="362"/>
        <item x="326"/>
        <item x="257"/>
        <item x="26"/>
        <item x="352"/>
        <item x="129"/>
        <item x="71"/>
        <item x="266"/>
        <item x="126"/>
        <item x="213"/>
        <item x="199"/>
        <item x="28"/>
        <item x="4"/>
        <item x="293"/>
        <item x="156"/>
        <item x="232"/>
        <item x="80"/>
        <item x="372"/>
        <item x="355"/>
        <item x="345"/>
        <item x="179"/>
        <item x="19"/>
        <item x="49"/>
        <item x="6"/>
        <item x="79"/>
        <item x="162"/>
        <item x="245"/>
        <item x="292"/>
        <item x="218"/>
        <item x="114"/>
        <item x="241"/>
        <item x="314"/>
        <item x="282"/>
        <item x="327"/>
        <item x="254"/>
        <item x="152"/>
        <item x="243"/>
        <item x="190"/>
        <item x="264"/>
        <item x="98"/>
        <item x="84"/>
        <item x="139"/>
        <item x="8"/>
        <item x="82"/>
        <item x="323"/>
        <item x="145"/>
        <item x="176"/>
        <item x="356"/>
        <item x="111"/>
        <item x="332"/>
        <item x="160"/>
        <item x="78"/>
        <item x="336"/>
        <item x="349"/>
        <item x="303"/>
        <item x="15"/>
        <item x="92"/>
        <item x="220"/>
        <item x="354"/>
        <item x="207"/>
        <item x="5"/>
        <item x="37"/>
        <item x="307"/>
        <item x="324"/>
        <item x="223"/>
        <item x="32"/>
        <item x="201"/>
        <item x="62"/>
        <item x="248"/>
        <item x="12"/>
        <item x="100"/>
        <item x="184"/>
        <item t="default"/>
      </items>
    </pivotField>
    <pivotField showAll="0"/>
    <pivotField showAll="0"/>
    <pivotField showAll="0"/>
    <pivotField showAll="0">
      <items count="7">
        <item x="3"/>
        <item x="0"/>
        <item x="1"/>
        <item x="2"/>
        <item x="5"/>
        <item x="4"/>
        <item t="default"/>
      </items>
    </pivotField>
    <pivotField showAll="0"/>
    <pivotField numFmtId="2" showAll="0"/>
    <pivotField dataField="1" showAll="0"/>
    <pivotField showAll="0">
      <items count="5">
        <item x="3"/>
        <item x="1"/>
        <item x="2"/>
        <item x="0"/>
        <item t="default"/>
      </items>
    </pivotField>
    <pivotField showAll="0">
      <items count="6">
        <item x="2"/>
        <item x="0"/>
        <item x="3"/>
        <item x="1"/>
        <item x="4"/>
        <item t="default"/>
      </items>
    </pivotField>
    <pivotField axis="axisRow" showAll="0" sortType="ascending">
      <items count="4">
        <item x="1"/>
        <item x="0"/>
        <item x="2"/>
        <item t="default"/>
      </items>
    </pivotField>
    <pivotField showAll="0"/>
    <pivotField showAll="0" defaultSubtotal="0">
      <items count="18">
        <item x="0"/>
        <item x="1"/>
        <item x="2"/>
        <item x="3"/>
        <item x="4"/>
        <item x="5"/>
        <item x="6"/>
        <item x="7"/>
        <item x="8"/>
        <item x="9"/>
        <item x="10"/>
        <item x="11"/>
        <item x="12"/>
        <item x="13"/>
        <item x="14"/>
        <item x="15"/>
        <item x="16"/>
        <item x="17"/>
      </items>
    </pivotField>
    <pivotField showAll="0">
      <items count="4">
        <item x="0"/>
        <item x="1"/>
        <item x="2"/>
        <item t="default"/>
      </items>
    </pivotField>
    <pivotField dragToRow="0" dragToCol="0" dragToPage="0" showAll="0" defaultSubtotal="0"/>
  </pivotFields>
  <rowFields count="1">
    <field x="11"/>
  </rowFields>
  <rowItems count="4">
    <i>
      <x/>
    </i>
    <i>
      <x v="1"/>
    </i>
    <i>
      <x v="2"/>
    </i>
    <i t="grand">
      <x/>
    </i>
  </rowItems>
  <colFields count="1">
    <field x="-2"/>
  </colFields>
  <colItems count="2">
    <i>
      <x/>
    </i>
    <i i="1">
      <x v="1"/>
    </i>
  </colItems>
  <dataFields count="2">
    <dataField name="Total Revenue" fld="8" baseField="11" baseItem="0"/>
    <dataField name="Percentage of Revenue per Order Status" fld="8" showDataAs="percentOfCol" baseField="11" baseItem="0" numFmtId="10"/>
  </dataFields>
  <chartFormats count="7">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1" count="1" selected="0">
            <x v="0"/>
          </reference>
        </references>
      </pivotArea>
    </chartFormat>
    <chartFormat chart="5" format="7">
      <pivotArea type="data" outline="0" fieldPosition="0">
        <references count="2">
          <reference field="4294967294" count="1" selected="0">
            <x v="0"/>
          </reference>
          <reference field="11" count="1" selected="0">
            <x v="1"/>
          </reference>
        </references>
      </pivotArea>
    </chartFormat>
    <chartFormat chart="5" format="8">
      <pivotArea type="data" outline="0" fieldPosition="0">
        <references count="2">
          <reference field="4294967294" count="1" selected="0">
            <x v="0"/>
          </reference>
          <reference field="11" count="1" selected="0">
            <x v="2"/>
          </reference>
        </references>
      </pivotArea>
    </chartFormat>
    <chartFormat chart="5" format="9" series="1">
      <pivotArea type="data" outline="0" fieldPosition="0">
        <references count="1">
          <reference field="4294967294" count="1" selected="0">
            <x v="1"/>
          </reference>
        </references>
      </pivotArea>
    </chartFormat>
    <chartFormat chart="5" format="10">
      <pivotArea type="data" outline="0" fieldPosition="0">
        <references count="2">
          <reference field="4294967294" count="1" selected="0">
            <x v="1"/>
          </reference>
          <reference field="11" count="1" selected="0">
            <x v="1"/>
          </reference>
        </references>
      </pivotArea>
    </chartFormat>
    <chartFormat chart="5" format="11">
      <pivotArea type="data" outline="0" fieldPosition="0">
        <references count="2">
          <reference field="4294967294"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1A2E6FCC-4AF4-4011-9DC2-CE35644F1D3D}" sourceName="order date ">
  <pivotTables>
    <pivotTable tabId="5" name="Revenue over Time"/>
    <pivotTable tabId="5" name="Regional Category Prefrences"/>
    <pivotTable tabId="5" name="Total Revenue by Product"/>
    <pivotTable tabId="5" name="Revenue by Catagory"/>
    <pivotTable tabId="5" name="Revenue by State"/>
    <pivotTable tabId="5" name="Revenue by Order Status"/>
    <pivotTable tabId="5" name="Revenue by Payment Method"/>
    <pivotTable tabId="5" name="PivotTable9"/>
  </pivotTables>
  <data>
    <tabular pivotCacheId="142036496">
      <items count="379">
        <i x="7" s="1"/>
        <i x="276" s="1"/>
        <i x="110" s="1"/>
        <i x="24" s="1"/>
        <i x="328" s="1"/>
        <i x="109" s="1"/>
        <i x="23" s="1"/>
        <i x="319" s="1"/>
        <i x="130" s="1"/>
        <i x="236" s="1"/>
        <i x="294" s="1"/>
        <i x="94" s="1"/>
        <i x="88" s="1"/>
        <i x="350" s="1"/>
        <i x="158" s="1"/>
        <i x="105" s="1"/>
        <i x="214" s="1"/>
        <i x="304" s="1"/>
        <i x="48" s="1"/>
        <i x="99" s="1"/>
        <i x="253" s="1"/>
        <i x="366" s="1"/>
        <i x="317" s="1"/>
        <i x="70" s="1"/>
        <i x="86" s="1"/>
        <i x="374" s="1"/>
        <i x="173" s="1"/>
        <i x="146" s="1"/>
        <i x="81" s="1"/>
        <i x="371" s="1"/>
        <i x="89" s="1"/>
        <i x="117" s="1"/>
        <i x="39" s="1"/>
        <i x="351" s="1"/>
        <i x="316" s="1"/>
        <i x="108" s="1"/>
        <i x="29" s="1"/>
        <i x="164" s="1"/>
        <i x="119" s="1"/>
        <i x="53" s="1"/>
        <i x="198" s="1"/>
        <i x="229" s="1"/>
        <i x="226" s="1"/>
        <i x="42" s="1"/>
        <i x="353" s="1"/>
        <i x="0" s="1"/>
        <i x="1" s="1"/>
        <i x="344" s="1"/>
        <i x="13" s="1"/>
        <i x="137" s="1"/>
        <i x="246" s="1"/>
        <i x="96" s="1"/>
        <i x="306" s="1"/>
        <i x="31" s="1"/>
        <i x="178" s="1"/>
        <i x="131" s="1"/>
        <i x="358" s="1"/>
        <i x="14" s="1"/>
        <i x="359" s="1"/>
        <i x="285" s="1"/>
        <i x="334" s="1"/>
        <i x="21" s="1"/>
        <i x="122" s="1"/>
        <i x="2" s="1"/>
        <i x="347" s="1"/>
        <i x="136" s="1"/>
        <i x="368" s="1"/>
        <i x="121" s="1"/>
        <i x="322" s="1"/>
        <i x="342" s="1"/>
        <i x="56" s="1"/>
        <i x="124" s="1"/>
        <i x="343" s="1"/>
        <i x="101" s="1"/>
        <i x="87" s="1"/>
        <i x="217" s="1"/>
        <i x="174" s="1"/>
        <i x="208" s="1"/>
        <i x="240" s="1"/>
        <i x="224" s="1"/>
        <i x="206" s="1"/>
        <i x="313" s="1"/>
        <i x="377" s="1"/>
        <i x="75" s="1"/>
        <i x="147" s="1"/>
        <i x="193" s="1"/>
        <i x="338" s="1"/>
        <i x="259" s="1"/>
        <i x="153" s="1"/>
        <i x="73" s="1"/>
        <i x="192" s="1"/>
        <i x="238" s="1"/>
        <i x="67" s="1"/>
        <i x="247" s="1"/>
        <i x="335" s="1"/>
        <i x="95" s="1"/>
        <i x="187" s="1"/>
        <i x="143" s="1"/>
        <i x="3" s="1"/>
        <i x="155" s="1"/>
        <i x="325" s="1"/>
        <i x="40" s="1"/>
        <i x="234" s="1"/>
        <i x="142" s="1"/>
        <i x="311" s="1"/>
        <i x="185" s="1"/>
        <i x="320" s="1"/>
        <i x="196" s="1"/>
        <i x="183" s="1"/>
        <i x="296" s="1"/>
        <i x="169" s="1"/>
        <i x="191" s="1"/>
        <i x="172" s="1"/>
        <i x="230" s="1"/>
        <i x="44" s="1"/>
        <i x="289" s="1"/>
        <i x="204" s="1"/>
        <i x="10" s="1"/>
        <i x="298" s="1"/>
        <i x="60" s="1"/>
        <i x="361" s="1"/>
        <i x="310" s="1"/>
        <i x="150" s="1"/>
        <i x="348" s="1"/>
        <i x="161" s="1"/>
        <i x="134" s="1"/>
        <i x="221" s="1"/>
        <i x="91" s="1"/>
        <i x="278" s="1"/>
        <i x="188" s="1"/>
        <i x="222" s="1"/>
        <i x="35" s="1"/>
        <i x="135" s="1"/>
        <i x="280" s="1"/>
        <i x="11" s="1"/>
        <i x="170" s="1"/>
        <i x="301" s="1"/>
        <i x="295" s="1"/>
        <i x="141" s="1"/>
        <i x="309" s="1"/>
        <i x="46" s="1"/>
        <i x="47" s="1"/>
        <i x="242" s="1"/>
        <i x="291" s="1"/>
        <i x="288" s="1"/>
        <i x="263" s="1"/>
        <i x="331" s="1"/>
        <i x="360" s="1"/>
        <i x="312" s="1"/>
        <i x="269" s="1"/>
        <i x="212" s="1"/>
        <i x="265" s="1"/>
        <i x="76" s="1"/>
        <i x="227" s="1"/>
        <i x="68" s="1"/>
        <i x="305" s="1"/>
        <i x="200" s="1"/>
        <i x="315" s="1"/>
        <i x="363" s="1"/>
        <i x="255" s="1"/>
        <i x="182" s="1"/>
        <i x="219" s="1"/>
        <i x="216" s="1"/>
        <i x="261" s="1"/>
        <i x="165" s="1"/>
        <i x="375" s="1"/>
        <i x="36" s="1"/>
        <i x="346" s="1"/>
        <i x="378" s="1"/>
        <i x="148" s="1"/>
        <i x="337" s="1"/>
        <i x="260" s="1"/>
        <i x="256" s="1"/>
        <i x="55" s="1"/>
        <i x="308" s="1"/>
        <i x="163" s="1"/>
        <i x="157" s="1"/>
        <i x="271" s="1"/>
        <i x="52" s="1"/>
        <i x="102" s="1"/>
        <i x="128" s="1"/>
        <i x="251" s="1"/>
        <i x="205" s="1"/>
        <i x="290" s="1"/>
        <i x="287" s="1"/>
        <i x="194" s="1"/>
        <i x="57" s="1"/>
        <i x="123" s="1"/>
        <i x="16" s="1"/>
        <i x="66" s="1"/>
        <i x="302" s="1"/>
        <i x="103" s="1"/>
        <i x="283" s="1"/>
        <i x="275" s="1"/>
        <i x="195" s="1"/>
        <i x="215" s="1"/>
        <i x="25" s="1"/>
        <i x="210" s="1"/>
        <i x="284" s="1"/>
        <i x="330" s="1"/>
        <i x="249" s="1"/>
        <i x="235" s="1"/>
        <i x="61" s="1"/>
        <i x="274" s="1"/>
        <i x="171" s="1"/>
        <i x="115" s="1"/>
        <i x="93" s="1"/>
        <i x="112" s="1"/>
        <i x="85" s="1"/>
        <i x="154" s="1"/>
        <i x="373" s="1"/>
        <i x="151" s="1"/>
        <i x="149" s="1"/>
        <i x="340" s="1"/>
        <i x="69" s="1"/>
        <i x="197" s="1"/>
        <i x="300" s="1"/>
        <i x="83" s="1"/>
        <i x="365" s="1"/>
        <i x="38" s="1"/>
        <i x="189" s="1"/>
        <i x="9" s="1"/>
        <i x="177" s="1"/>
        <i x="272" s="1"/>
        <i x="17" s="1"/>
        <i x="250" s="1"/>
        <i x="132" s="1"/>
        <i x="270" s="1"/>
        <i x="168" s="1"/>
        <i x="159" s="1"/>
        <i x="167" s="1"/>
        <i x="30" s="1"/>
        <i x="279" s="1"/>
        <i x="166" s="1"/>
        <i x="77" s="1"/>
        <i x="54" s="1"/>
        <i x="65" s="1"/>
        <i x="144" s="1"/>
        <i x="175" s="1"/>
        <i x="329" s="1"/>
        <i x="181" s="1"/>
        <i x="34" s="1"/>
        <i x="233" s="1"/>
        <i x="140" s="1"/>
        <i x="231" s="1"/>
        <i x="239" s="1"/>
        <i x="180" s="1"/>
        <i x="252" s="1"/>
        <i x="267" s="1"/>
        <i x="237" s="1"/>
        <i x="20" s="1"/>
        <i x="211" s="1"/>
        <i x="203" s="1"/>
        <i x="244" s="1"/>
        <i x="120" s="1"/>
        <i x="41" s="1"/>
        <i x="27" s="1"/>
        <i x="228" s="1"/>
        <i x="127" s="1"/>
        <i x="318" s="1"/>
        <i x="209" s="1"/>
        <i x="186" s="1"/>
        <i x="58" s="1"/>
        <i x="107" s="1"/>
        <i x="51" s="1"/>
        <i x="202" s="1"/>
        <i x="106" s="1"/>
        <i x="138" s="1"/>
        <i x="297" s="1"/>
        <i x="321" s="1"/>
        <i x="370" s="1"/>
        <i x="369" s="1"/>
        <i x="273" s="1"/>
        <i x="357" s="1"/>
        <i x="268" s="1"/>
        <i x="45" s="1"/>
        <i x="364" s="1"/>
        <i x="43" s="1"/>
        <i x="118" s="1"/>
        <i x="64" s="1"/>
        <i x="113" s="1"/>
        <i x="262" s="1"/>
        <i x="281" s="1"/>
        <i x="33" s="1"/>
        <i x="72" s="1"/>
        <i x="376" s="1"/>
        <i x="74" s="1"/>
        <i x="286" s="1"/>
        <i x="18" s="1"/>
        <i x="116" s="1"/>
        <i x="341" s="1"/>
        <i x="63" s="1"/>
        <i x="125" s="1"/>
        <i x="225" s="1"/>
        <i x="59" s="1"/>
        <i x="104" s="1"/>
        <i x="367" s="1"/>
        <i x="299" s="1"/>
        <i x="90" s="1"/>
        <i x="50" s="1"/>
        <i x="133" s="1"/>
        <i x="339" s="1"/>
        <i x="277" s="1"/>
        <i x="22" s="1"/>
        <i x="97" s="1"/>
        <i x="333" s="1"/>
        <i x="258" s="1"/>
        <i x="362" s="1"/>
        <i x="326" s="1"/>
        <i x="257" s="1"/>
        <i x="26" s="1"/>
        <i x="352" s="1"/>
        <i x="129" s="1"/>
        <i x="71" s="1"/>
        <i x="266" s="1"/>
        <i x="126" s="1"/>
        <i x="213" s="1"/>
        <i x="199" s="1"/>
        <i x="28" s="1"/>
        <i x="4" s="1"/>
        <i x="293" s="1"/>
        <i x="156" s="1"/>
        <i x="232" s="1"/>
        <i x="80" s="1"/>
        <i x="372" s="1"/>
        <i x="355" s="1"/>
        <i x="345" s="1"/>
        <i x="179" s="1"/>
        <i x="19" s="1"/>
        <i x="49" s="1"/>
        <i x="6" s="1"/>
        <i x="79" s="1"/>
        <i x="162" s="1"/>
        <i x="245" s="1"/>
        <i x="292" s="1"/>
        <i x="218" s="1"/>
        <i x="114" s="1"/>
        <i x="241" s="1"/>
        <i x="314" s="1"/>
        <i x="282" s="1"/>
        <i x="327" s="1"/>
        <i x="254" s="1"/>
        <i x="152" s="1"/>
        <i x="243" s="1"/>
        <i x="190" s="1"/>
        <i x="264" s="1"/>
        <i x="98" s="1"/>
        <i x="84" s="1"/>
        <i x="139" s="1"/>
        <i x="8" s="1"/>
        <i x="82" s="1"/>
        <i x="323" s="1"/>
        <i x="145" s="1"/>
        <i x="176" s="1"/>
        <i x="356" s="1"/>
        <i x="111" s="1"/>
        <i x="332" s="1"/>
        <i x="160" s="1"/>
        <i x="78" s="1"/>
        <i x="336" s="1"/>
        <i x="349" s="1"/>
        <i x="303" s="1"/>
        <i x="15" s="1"/>
        <i x="92" s="1"/>
        <i x="220" s="1"/>
        <i x="354" s="1"/>
        <i x="207" s="1"/>
        <i x="5" s="1"/>
        <i x="37" s="1"/>
        <i x="307" s="1"/>
        <i x="324" s="1"/>
        <i x="223" s="1"/>
        <i x="32" s="1"/>
        <i x="201" s="1"/>
        <i x="62" s="1"/>
        <i x="248" s="1"/>
        <i x="12" s="1"/>
        <i x="100" s="1"/>
        <i x="18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8C121AE-2A4C-41F2-9710-78A75C9DEF8F}" sourceName="Category">
  <pivotTables>
    <pivotTable tabId="5" name="Revenue over Time"/>
    <pivotTable tabId="5" name="Regional Category Prefrences"/>
    <pivotTable tabId="5" name="Total Revenue by Product"/>
    <pivotTable tabId="5" name="Revenue by Catagory"/>
    <pivotTable tabId="5" name="Revenue by State"/>
    <pivotTable tabId="5" name="Revenue by Order Status"/>
    <pivotTable tabId="5" name="Revenue by Payment Method"/>
    <pivotTable tabId="5" name="PivotTable9"/>
  </pivotTables>
  <data>
    <tabular pivotCacheId="142036496">
      <items count="6">
        <i x="3" s="1"/>
        <i x="0" s="1"/>
        <i x="1" s="1"/>
        <i x="2" s="1"/>
        <i x="5"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45C58B07-0F29-497B-B298-3F69552ED2D8}" sourceName="Payment Method">
  <pivotTables>
    <pivotTable tabId="5" name="Revenue over Time"/>
    <pivotTable tabId="5" name="Regional Category Prefrences"/>
    <pivotTable tabId="5" name="Total Revenue by Product"/>
    <pivotTable tabId="5" name="Revenue by Catagory"/>
    <pivotTable tabId="5" name="Revenue by State"/>
    <pivotTable tabId="5" name="Revenue by Order Status"/>
    <pivotTable tabId="5" name="Revenue by Payment Method"/>
    <pivotTable tabId="5" name="PivotTable9"/>
  </pivotTables>
  <data>
    <tabular pivotCacheId="142036496">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State_2" xr10:uid="{4866D679-5BDC-468C-BE3F-491AE00B4477}" sourceName="Ship State 2">
  <pivotTables>
    <pivotTable tabId="5" name="Revenue over Time"/>
    <pivotTable tabId="5" name="Regional Category Prefrences"/>
    <pivotTable tabId="5" name="Total Revenue by Product"/>
    <pivotTable tabId="5" name="Revenue by Catagory"/>
    <pivotTable tabId="5" name="Revenue by State"/>
    <pivotTable tabId="5" name="Revenue by Order Status"/>
    <pivotTable tabId="5" name="Revenue by Payment Method"/>
    <pivotTable tabId="5" name="PivotTable9"/>
  </pivotTables>
  <data>
    <tabular pivotCacheId="142036496">
      <items count="5">
        <i x="2" s="1"/>
        <i x="0" s="1"/>
        <i x="3" s="1"/>
        <i x="1"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73F090E9-AB50-4BAF-8B95-6F97F3ADEF18}" sourceName="Order status">
  <pivotTables>
    <pivotTable tabId="5" name="Revenue over Time"/>
    <pivotTable tabId="5" name="Regional Category Prefrences"/>
    <pivotTable tabId="5" name="Total Revenue by Product"/>
    <pivotTable tabId="5" name="Revenue by Catagory"/>
    <pivotTable tabId="5" name="Revenue by State"/>
    <pivotTable tabId="5" name="Revenue by Payment Method"/>
    <pivotTable tabId="5" name="PivotTable9"/>
    <pivotTable tabId="5" name="Revenue by Order Status"/>
  </pivotTables>
  <data>
    <tabular pivotCacheId="142036496">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1" xr10:uid="{41306687-7381-4FC1-A2E8-C70ECED8AEB4}" cache="Slicer_order_date" caption="Order date " style="Slicer Style 2" rowHeight="241300"/>
  <slicer name="Category 1" xr10:uid="{096A7F80-8A3C-4F4E-B3A5-48361CE07204}" cache="Slicer_Category" caption="Category" style="Slicer Style 2" rowHeight="241300"/>
  <slicer name="Payment Method 1" xr10:uid="{09B5568C-9109-4407-87D5-1270552052AA}" cache="Slicer_Payment_Method" caption="Payment Method" style="Slicer Style 2" rowHeight="241300"/>
  <slicer name="Ship State 1" xr10:uid="{4452F4AB-62DC-48A8-A595-E86D5F295D5B}" cache="Slicer_Ship_State_2" caption="Ship State" style="Slicer Style 2" rowHeight="241300"/>
  <slicer name="Order status 1" xr10:uid="{C98C241E-00C6-420D-B1FA-6730B81ED084}" cache="Slicer_Order_status" caption="Order status" style="Slicer Style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4A48DC-4687-4C81-937A-0355B611BABB}" name="Table1" displayName="Table1" ref="A1:M1051" totalsRowShown="0" headerRowDxfId="17" dataDxfId="15" headerRowBorderDxfId="16" tableBorderDxfId="14" totalsRowBorderDxfId="13">
  <autoFilter ref="A1:M1051" xr:uid="{C34A48DC-4687-4C81-937A-0355B611BABB}"/>
  <tableColumns count="13">
    <tableColumn id="1" xr3:uid="{DBC0A85D-0DD3-47EB-BE84-5712A94BA651}" name="Order ID" dataDxfId="12"/>
    <tableColumn id="2" xr3:uid="{9CA7FD13-ADB0-43BB-BC58-7EA2434B43D2}" name="order date " dataDxfId="11"/>
    <tableColumn id="3" xr3:uid="{D063A665-0E62-4E9A-AB0E-730E82CA9A7E}" name=" Customer Name" dataDxfId="10"/>
    <tableColumn id="4" xr3:uid="{E6EBB6D1-D509-43E1-93E1-72156BE102B4}" name="customer_email " dataDxfId="9"/>
    <tableColumn id="5" xr3:uid="{9C471F48-9D3E-43EF-BEE4-D3036CC115DF}" name="Product Name" dataDxfId="8"/>
    <tableColumn id="6" xr3:uid="{73716C6D-AC7F-4266-B619-F35FEA77ACC6}" name="Category" dataDxfId="7"/>
    <tableColumn id="7" xr3:uid="{1AA52DFF-71B2-406C-912D-FEE2EDA995EC}" name="Quantity" dataDxfId="6"/>
    <tableColumn id="8" xr3:uid="{54371712-7AFE-4311-ADD2-7CFB3539C59E}" name="Unit Price" dataDxfId="5"/>
    <tableColumn id="9" xr3:uid="{283EC75D-A95A-4F21-9E44-ACB9FB323396}" name="Total price" dataDxfId="4">
      <calculatedColumnFormula>IF(G2="N/A","N/A",PRODUCT(G2,H2))</calculatedColumnFormula>
    </tableColumn>
    <tableColumn id="10" xr3:uid="{72CDF5B3-488D-4C9C-8509-735F9D98C932}" name="Payment Method" dataDxfId="3"/>
    <tableColumn id="11" xr3:uid="{B8F687FD-63CB-44C7-B46D-F6CCF5FE3C13}" name="Ship State" dataDxfId="2"/>
    <tableColumn id="12" xr3:uid="{24CD585A-79A3-4485-A99A-F1EFD8CC8226}" name="Order status" dataDxfId="1"/>
    <tableColumn id="13" xr3:uid="{A4220990-E6BF-4E39-B824-2C79E4AB230A}"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5FADB-B025-4896-803A-CC32F1691DFD}">
  <dimension ref="B3:C21"/>
  <sheetViews>
    <sheetView topLeftCell="A4" workbookViewId="0">
      <selection activeCell="E18" sqref="E18"/>
    </sheetView>
  </sheetViews>
  <sheetFormatPr defaultRowHeight="15" x14ac:dyDescent="0.25"/>
  <cols>
    <col min="3" max="3" width="101.42578125" customWidth="1"/>
  </cols>
  <sheetData>
    <row r="3" spans="2:3" ht="72" customHeight="1" x14ac:dyDescent="0.25">
      <c r="B3" s="1" t="s">
        <v>763</v>
      </c>
      <c r="C3" s="26" t="s">
        <v>776</v>
      </c>
    </row>
    <row r="6" spans="2:3" x14ac:dyDescent="0.25">
      <c r="B6" s="1" t="s">
        <v>762</v>
      </c>
    </row>
    <row r="21" spans="2:2" x14ac:dyDescent="0.25">
      <c r="B21" t="s">
        <v>779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75202-CB20-4B20-A63F-89B1C2E01E5C}">
  <dimension ref="A1:M1051"/>
  <sheetViews>
    <sheetView workbookViewId="0">
      <selection activeCell="N9" sqref="N9"/>
    </sheetView>
  </sheetViews>
  <sheetFormatPr defaultRowHeight="15" x14ac:dyDescent="0.25"/>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1000</v>
      </c>
      <c r="B2" t="s">
        <v>13</v>
      </c>
      <c r="C2" t="s">
        <v>14</v>
      </c>
      <c r="D2" t="s">
        <v>15</v>
      </c>
      <c r="E2" t="s">
        <v>16</v>
      </c>
      <c r="F2" t="s">
        <v>17</v>
      </c>
      <c r="G2">
        <v>5</v>
      </c>
      <c r="H2" t="s">
        <v>18</v>
      </c>
      <c r="J2" t="s">
        <v>19</v>
      </c>
      <c r="K2" t="s">
        <v>20</v>
      </c>
      <c r="L2" t="s">
        <v>21</v>
      </c>
    </row>
    <row r="3" spans="1:13" x14ac:dyDescent="0.25">
      <c r="A3">
        <v>1001</v>
      </c>
      <c r="B3" t="s">
        <v>22</v>
      </c>
      <c r="C3" t="s">
        <v>23</v>
      </c>
      <c r="D3" t="s">
        <v>24</v>
      </c>
      <c r="E3" t="s">
        <v>25</v>
      </c>
      <c r="F3" t="s">
        <v>26</v>
      </c>
      <c r="G3">
        <v>5</v>
      </c>
      <c r="H3">
        <v>99.99</v>
      </c>
      <c r="J3" t="s">
        <v>27</v>
      </c>
      <c r="K3" t="s">
        <v>28</v>
      </c>
      <c r="L3" t="s">
        <v>29</v>
      </c>
    </row>
    <row r="4" spans="1:13" x14ac:dyDescent="0.25">
      <c r="A4">
        <v>1002</v>
      </c>
      <c r="B4" t="s">
        <v>30</v>
      </c>
      <c r="C4" t="s">
        <v>23</v>
      </c>
      <c r="D4" t="s">
        <v>24</v>
      </c>
      <c r="E4" t="s">
        <v>31</v>
      </c>
      <c r="F4" t="s">
        <v>32</v>
      </c>
      <c r="H4">
        <v>79.989999999999995</v>
      </c>
      <c r="J4" t="s">
        <v>33</v>
      </c>
      <c r="K4" t="s">
        <v>34</v>
      </c>
      <c r="L4" t="s">
        <v>35</v>
      </c>
    </row>
    <row r="5" spans="1:13" x14ac:dyDescent="0.25">
      <c r="A5">
        <v>1003</v>
      </c>
      <c r="B5" t="s">
        <v>36</v>
      </c>
      <c r="C5" t="s">
        <v>37</v>
      </c>
      <c r="D5" t="s">
        <v>38</v>
      </c>
      <c r="E5" t="s">
        <v>39</v>
      </c>
      <c r="F5" t="s">
        <v>17</v>
      </c>
      <c r="G5">
        <v>4</v>
      </c>
      <c r="H5">
        <v>39.99</v>
      </c>
      <c r="J5" t="s">
        <v>27</v>
      </c>
      <c r="K5" t="s">
        <v>20</v>
      </c>
      <c r="L5" t="s">
        <v>40</v>
      </c>
    </row>
    <row r="6" spans="1:13" x14ac:dyDescent="0.25">
      <c r="A6">
        <v>1004</v>
      </c>
      <c r="B6" t="s">
        <v>41</v>
      </c>
      <c r="C6" t="s">
        <v>42</v>
      </c>
      <c r="D6" t="s">
        <v>43</v>
      </c>
      <c r="E6" t="s">
        <v>44</v>
      </c>
      <c r="F6" t="s">
        <v>17</v>
      </c>
      <c r="H6" t="s">
        <v>18</v>
      </c>
      <c r="J6" t="s">
        <v>27</v>
      </c>
      <c r="K6" t="s">
        <v>45</v>
      </c>
      <c r="L6" t="s">
        <v>46</v>
      </c>
    </row>
    <row r="7" spans="1:13" x14ac:dyDescent="0.25">
      <c r="A7">
        <v>1005</v>
      </c>
      <c r="B7" t="s">
        <v>47</v>
      </c>
      <c r="C7" t="s">
        <v>42</v>
      </c>
      <c r="D7" t="s">
        <v>48</v>
      </c>
      <c r="E7" t="s">
        <v>49</v>
      </c>
      <c r="F7" t="s">
        <v>26</v>
      </c>
      <c r="G7">
        <v>2</v>
      </c>
      <c r="H7">
        <v>14.99</v>
      </c>
      <c r="J7" t="s">
        <v>19</v>
      </c>
      <c r="K7" t="s">
        <v>50</v>
      </c>
      <c r="L7" t="s">
        <v>35</v>
      </c>
    </row>
    <row r="8" spans="1:13" x14ac:dyDescent="0.25">
      <c r="A8">
        <v>1006</v>
      </c>
      <c r="B8" t="s">
        <v>51</v>
      </c>
      <c r="C8" t="s">
        <v>23</v>
      </c>
      <c r="D8" t="s">
        <v>24</v>
      </c>
      <c r="E8" t="s">
        <v>52</v>
      </c>
      <c r="F8" t="s">
        <v>53</v>
      </c>
      <c r="G8">
        <v>2</v>
      </c>
      <c r="H8">
        <v>59.99</v>
      </c>
      <c r="J8" t="s">
        <v>54</v>
      </c>
      <c r="K8" t="s">
        <v>55</v>
      </c>
      <c r="L8" t="s">
        <v>35</v>
      </c>
    </row>
    <row r="9" spans="1:13" x14ac:dyDescent="0.25">
      <c r="A9">
        <v>1007</v>
      </c>
      <c r="C9" t="s">
        <v>37</v>
      </c>
      <c r="D9" t="s">
        <v>38</v>
      </c>
      <c r="E9" t="s">
        <v>49</v>
      </c>
      <c r="F9" t="s">
        <v>26</v>
      </c>
      <c r="G9">
        <v>-1</v>
      </c>
      <c r="H9" t="s">
        <v>56</v>
      </c>
      <c r="J9" t="s">
        <v>57</v>
      </c>
      <c r="K9" t="s">
        <v>55</v>
      </c>
      <c r="L9" t="s">
        <v>35</v>
      </c>
    </row>
    <row r="10" spans="1:13" x14ac:dyDescent="0.25">
      <c r="A10">
        <v>1008</v>
      </c>
      <c r="B10" t="s">
        <v>58</v>
      </c>
      <c r="C10" t="s">
        <v>42</v>
      </c>
      <c r="D10" t="s">
        <v>43</v>
      </c>
      <c r="E10" t="s">
        <v>59</v>
      </c>
      <c r="F10" t="s">
        <v>60</v>
      </c>
      <c r="H10" t="s">
        <v>61</v>
      </c>
      <c r="J10" t="s">
        <v>62</v>
      </c>
      <c r="K10" t="s">
        <v>28</v>
      </c>
      <c r="L10" t="s">
        <v>29</v>
      </c>
      <c r="M10" t="s">
        <v>63</v>
      </c>
    </row>
    <row r="11" spans="1:13" x14ac:dyDescent="0.25">
      <c r="A11">
        <v>1009</v>
      </c>
      <c r="B11" t="s">
        <v>64</v>
      </c>
      <c r="C11" t="s">
        <v>65</v>
      </c>
      <c r="D11" t="s">
        <v>66</v>
      </c>
      <c r="E11" t="s">
        <v>67</v>
      </c>
      <c r="F11" t="s">
        <v>32</v>
      </c>
      <c r="G11">
        <v>5</v>
      </c>
      <c r="H11">
        <v>79.989999999999995</v>
      </c>
      <c r="J11" t="s">
        <v>27</v>
      </c>
      <c r="K11" t="s">
        <v>68</v>
      </c>
      <c r="L11" t="s">
        <v>21</v>
      </c>
    </row>
    <row r="12" spans="1:13" x14ac:dyDescent="0.25">
      <c r="A12">
        <v>1010</v>
      </c>
      <c r="B12" t="s">
        <v>69</v>
      </c>
      <c r="C12" t="s">
        <v>70</v>
      </c>
      <c r="D12" t="s">
        <v>71</v>
      </c>
      <c r="E12" t="s">
        <v>72</v>
      </c>
      <c r="F12" t="s">
        <v>73</v>
      </c>
      <c r="G12">
        <v>2</v>
      </c>
      <c r="H12">
        <v>49.99</v>
      </c>
      <c r="J12" t="s">
        <v>54</v>
      </c>
      <c r="K12" t="s">
        <v>20</v>
      </c>
      <c r="L12" t="s">
        <v>21</v>
      </c>
    </row>
    <row r="13" spans="1:13" x14ac:dyDescent="0.25">
      <c r="A13">
        <v>1011</v>
      </c>
      <c r="B13" t="s">
        <v>74</v>
      </c>
      <c r="C13" t="s">
        <v>14</v>
      </c>
      <c r="D13" t="s">
        <v>75</v>
      </c>
      <c r="E13" t="s">
        <v>49</v>
      </c>
      <c r="F13" t="s">
        <v>26</v>
      </c>
      <c r="G13">
        <v>1</v>
      </c>
      <c r="H13">
        <v>14.99</v>
      </c>
      <c r="J13" t="s">
        <v>57</v>
      </c>
      <c r="K13" t="s">
        <v>20</v>
      </c>
      <c r="L13" t="s">
        <v>46</v>
      </c>
    </row>
    <row r="14" spans="1:13" x14ac:dyDescent="0.25">
      <c r="A14">
        <v>1012</v>
      </c>
      <c r="B14" t="s">
        <v>76</v>
      </c>
      <c r="C14" t="s">
        <v>77</v>
      </c>
      <c r="D14" t="s">
        <v>78</v>
      </c>
      <c r="E14" t="s">
        <v>44</v>
      </c>
      <c r="F14" t="s">
        <v>17</v>
      </c>
      <c r="G14">
        <v>5</v>
      </c>
      <c r="H14" t="s">
        <v>18</v>
      </c>
      <c r="J14" t="s">
        <v>27</v>
      </c>
      <c r="K14" t="s">
        <v>50</v>
      </c>
      <c r="L14" t="s">
        <v>40</v>
      </c>
    </row>
    <row r="15" spans="1:13" x14ac:dyDescent="0.25">
      <c r="A15">
        <v>1013</v>
      </c>
      <c r="B15" t="s">
        <v>79</v>
      </c>
      <c r="C15" t="s">
        <v>14</v>
      </c>
      <c r="D15" t="s">
        <v>75</v>
      </c>
      <c r="E15" t="s">
        <v>16</v>
      </c>
      <c r="F15" t="s">
        <v>17</v>
      </c>
      <c r="G15">
        <v>-1</v>
      </c>
      <c r="H15">
        <v>15.99</v>
      </c>
      <c r="J15" t="s">
        <v>27</v>
      </c>
      <c r="K15" t="s">
        <v>50</v>
      </c>
      <c r="L15" t="s">
        <v>40</v>
      </c>
    </row>
    <row r="16" spans="1:13" x14ac:dyDescent="0.25">
      <c r="A16">
        <v>1014</v>
      </c>
      <c r="C16" t="s">
        <v>23</v>
      </c>
      <c r="E16" t="s">
        <v>39</v>
      </c>
      <c r="F16" t="s">
        <v>17</v>
      </c>
      <c r="G16">
        <v>5</v>
      </c>
      <c r="H16">
        <v>39.99</v>
      </c>
      <c r="J16" t="s">
        <v>27</v>
      </c>
      <c r="K16" t="s">
        <v>45</v>
      </c>
      <c r="L16" t="s">
        <v>35</v>
      </c>
    </row>
    <row r="17" spans="1:13" x14ac:dyDescent="0.25">
      <c r="A17">
        <v>1015</v>
      </c>
      <c r="B17" t="s">
        <v>80</v>
      </c>
      <c r="C17" t="s">
        <v>23</v>
      </c>
      <c r="D17" t="s">
        <v>81</v>
      </c>
      <c r="E17" t="s">
        <v>82</v>
      </c>
      <c r="F17" t="s">
        <v>60</v>
      </c>
      <c r="G17">
        <v>3</v>
      </c>
      <c r="H17">
        <v>4.99</v>
      </c>
      <c r="J17" t="s">
        <v>19</v>
      </c>
      <c r="K17" t="s">
        <v>50</v>
      </c>
      <c r="L17" t="s">
        <v>35</v>
      </c>
    </row>
    <row r="18" spans="1:13" x14ac:dyDescent="0.25">
      <c r="A18">
        <v>1016</v>
      </c>
      <c r="B18" t="s">
        <v>83</v>
      </c>
      <c r="C18" t="s">
        <v>14</v>
      </c>
      <c r="D18" t="s">
        <v>84</v>
      </c>
      <c r="E18" t="s">
        <v>85</v>
      </c>
      <c r="F18" t="s">
        <v>26</v>
      </c>
      <c r="G18">
        <v>2</v>
      </c>
      <c r="H18" t="s">
        <v>86</v>
      </c>
      <c r="J18" t="s">
        <v>19</v>
      </c>
      <c r="K18" t="s">
        <v>45</v>
      </c>
      <c r="L18" t="s">
        <v>46</v>
      </c>
    </row>
    <row r="19" spans="1:13" x14ac:dyDescent="0.25">
      <c r="A19">
        <v>1017</v>
      </c>
      <c r="C19" t="s">
        <v>70</v>
      </c>
      <c r="D19" t="s">
        <v>71</v>
      </c>
      <c r="E19" t="s">
        <v>72</v>
      </c>
      <c r="F19" t="s">
        <v>73</v>
      </c>
      <c r="G19">
        <v>1</v>
      </c>
      <c r="H19">
        <v>49.99</v>
      </c>
      <c r="J19" t="s">
        <v>62</v>
      </c>
      <c r="K19" t="s">
        <v>55</v>
      </c>
      <c r="L19" t="s">
        <v>46</v>
      </c>
    </row>
    <row r="20" spans="1:13" x14ac:dyDescent="0.25">
      <c r="B20" t="s">
        <v>87</v>
      </c>
      <c r="C20" t="s">
        <v>14</v>
      </c>
      <c r="D20" t="s">
        <v>84</v>
      </c>
      <c r="E20" t="s">
        <v>59</v>
      </c>
      <c r="F20" t="s">
        <v>60</v>
      </c>
      <c r="H20" t="s">
        <v>61</v>
      </c>
      <c r="J20" t="s">
        <v>62</v>
      </c>
      <c r="K20" t="s">
        <v>55</v>
      </c>
      <c r="L20" t="s">
        <v>46</v>
      </c>
      <c r="M20" t="s">
        <v>63</v>
      </c>
    </row>
    <row r="21" spans="1:13" x14ac:dyDescent="0.25">
      <c r="A21">
        <v>1019</v>
      </c>
      <c r="C21" t="s">
        <v>70</v>
      </c>
      <c r="D21" t="s">
        <v>88</v>
      </c>
      <c r="E21" t="s">
        <v>89</v>
      </c>
      <c r="F21" t="s">
        <v>17</v>
      </c>
      <c r="G21">
        <v>-1</v>
      </c>
      <c r="H21">
        <v>39.99</v>
      </c>
      <c r="J21" t="s">
        <v>62</v>
      </c>
      <c r="K21" t="s">
        <v>28</v>
      </c>
      <c r="L21" t="s">
        <v>46</v>
      </c>
    </row>
    <row r="22" spans="1:13" x14ac:dyDescent="0.25">
      <c r="A22">
        <v>1020</v>
      </c>
      <c r="B22" t="s">
        <v>90</v>
      </c>
      <c r="C22" t="s">
        <v>77</v>
      </c>
      <c r="D22" t="s">
        <v>91</v>
      </c>
      <c r="E22" t="s">
        <v>92</v>
      </c>
      <c r="F22" t="s">
        <v>26</v>
      </c>
      <c r="G22">
        <v>3</v>
      </c>
      <c r="H22">
        <v>14.99</v>
      </c>
      <c r="J22" t="s">
        <v>54</v>
      </c>
      <c r="K22" t="s">
        <v>20</v>
      </c>
      <c r="L22" t="s">
        <v>21</v>
      </c>
      <c r="M22" t="s">
        <v>63</v>
      </c>
    </row>
    <row r="23" spans="1:13" x14ac:dyDescent="0.25">
      <c r="A23">
        <v>1021</v>
      </c>
      <c r="B23" t="s">
        <v>93</v>
      </c>
      <c r="C23" t="s">
        <v>14</v>
      </c>
      <c r="D23" t="s">
        <v>75</v>
      </c>
      <c r="E23" t="s">
        <v>67</v>
      </c>
      <c r="F23" t="s">
        <v>32</v>
      </c>
      <c r="H23">
        <v>79.989999999999995</v>
      </c>
      <c r="J23" t="s">
        <v>19</v>
      </c>
      <c r="K23" t="s">
        <v>20</v>
      </c>
      <c r="L23" t="s">
        <v>29</v>
      </c>
    </row>
    <row r="24" spans="1:13" x14ac:dyDescent="0.25">
      <c r="A24">
        <v>1022</v>
      </c>
      <c r="B24" t="s">
        <v>94</v>
      </c>
      <c r="C24" t="s">
        <v>14</v>
      </c>
      <c r="D24" t="s">
        <v>84</v>
      </c>
      <c r="E24" t="s">
        <v>95</v>
      </c>
      <c r="F24" t="s">
        <v>73</v>
      </c>
      <c r="G24">
        <v>5</v>
      </c>
      <c r="H24">
        <v>29.99</v>
      </c>
      <c r="J24" t="s">
        <v>57</v>
      </c>
      <c r="K24" t="s">
        <v>55</v>
      </c>
      <c r="L24" t="s">
        <v>29</v>
      </c>
    </row>
    <row r="25" spans="1:13" x14ac:dyDescent="0.25">
      <c r="A25">
        <v>1023</v>
      </c>
      <c r="B25" t="s">
        <v>96</v>
      </c>
      <c r="C25" t="s">
        <v>23</v>
      </c>
      <c r="D25" t="s">
        <v>81</v>
      </c>
      <c r="E25" t="s">
        <v>52</v>
      </c>
      <c r="F25" t="s">
        <v>53</v>
      </c>
      <c r="G25">
        <v>4</v>
      </c>
      <c r="H25" t="s">
        <v>97</v>
      </c>
      <c r="J25" t="s">
        <v>19</v>
      </c>
      <c r="K25" t="s">
        <v>34</v>
      </c>
      <c r="L25" t="s">
        <v>21</v>
      </c>
    </row>
    <row r="26" spans="1:13" x14ac:dyDescent="0.25">
      <c r="A26">
        <v>1024</v>
      </c>
      <c r="B26" t="s">
        <v>98</v>
      </c>
      <c r="C26" t="s">
        <v>14</v>
      </c>
      <c r="D26" t="s">
        <v>99</v>
      </c>
      <c r="E26" t="s">
        <v>72</v>
      </c>
      <c r="F26" t="s">
        <v>73</v>
      </c>
      <c r="H26">
        <v>49.99</v>
      </c>
      <c r="J26" t="s">
        <v>54</v>
      </c>
      <c r="K26" t="s">
        <v>50</v>
      </c>
      <c r="L26" t="s">
        <v>29</v>
      </c>
    </row>
    <row r="27" spans="1:13" x14ac:dyDescent="0.25">
      <c r="A27">
        <v>1025</v>
      </c>
      <c r="B27" t="s">
        <v>100</v>
      </c>
      <c r="C27" t="s">
        <v>65</v>
      </c>
      <c r="D27" t="s">
        <v>101</v>
      </c>
      <c r="E27" t="s">
        <v>85</v>
      </c>
      <c r="F27" t="s">
        <v>26</v>
      </c>
      <c r="G27">
        <v>3</v>
      </c>
      <c r="H27">
        <v>99.99</v>
      </c>
      <c r="J27" t="s">
        <v>57</v>
      </c>
      <c r="K27" t="s">
        <v>34</v>
      </c>
      <c r="L27" t="s">
        <v>35</v>
      </c>
    </row>
    <row r="28" spans="1:13" x14ac:dyDescent="0.25">
      <c r="A28">
        <v>1026</v>
      </c>
      <c r="B28" t="s">
        <v>102</v>
      </c>
      <c r="C28" t="s">
        <v>77</v>
      </c>
      <c r="D28" t="s">
        <v>103</v>
      </c>
      <c r="E28" t="s">
        <v>82</v>
      </c>
      <c r="F28" t="s">
        <v>60</v>
      </c>
      <c r="H28">
        <v>4.99</v>
      </c>
      <c r="J28" t="s">
        <v>62</v>
      </c>
      <c r="K28" t="s">
        <v>68</v>
      </c>
      <c r="L28" t="s">
        <v>29</v>
      </c>
    </row>
    <row r="29" spans="1:13" x14ac:dyDescent="0.25">
      <c r="A29">
        <v>1027</v>
      </c>
      <c r="B29" t="s">
        <v>104</v>
      </c>
      <c r="C29" t="s">
        <v>77</v>
      </c>
      <c r="D29" t="s">
        <v>91</v>
      </c>
      <c r="E29" t="s">
        <v>31</v>
      </c>
      <c r="F29" t="s">
        <v>32</v>
      </c>
      <c r="G29">
        <v>1</v>
      </c>
      <c r="H29">
        <v>79.989999999999995</v>
      </c>
      <c r="J29" t="s">
        <v>27</v>
      </c>
      <c r="K29" t="s">
        <v>20</v>
      </c>
      <c r="L29" t="s">
        <v>35</v>
      </c>
    </row>
    <row r="30" spans="1:13" x14ac:dyDescent="0.25">
      <c r="A30">
        <v>1028</v>
      </c>
      <c r="B30" t="s">
        <v>105</v>
      </c>
      <c r="C30" t="s">
        <v>42</v>
      </c>
      <c r="D30" t="s">
        <v>106</v>
      </c>
      <c r="E30" t="s">
        <v>16</v>
      </c>
      <c r="F30" t="s">
        <v>17</v>
      </c>
      <c r="H30">
        <v>15.99</v>
      </c>
      <c r="J30" t="s">
        <v>19</v>
      </c>
      <c r="K30" t="s">
        <v>28</v>
      </c>
      <c r="L30" t="s">
        <v>46</v>
      </c>
    </row>
    <row r="31" spans="1:13" x14ac:dyDescent="0.25">
      <c r="A31">
        <v>1029</v>
      </c>
      <c r="C31" t="s">
        <v>42</v>
      </c>
      <c r="D31" t="s">
        <v>43</v>
      </c>
      <c r="E31" t="s">
        <v>39</v>
      </c>
      <c r="F31" t="s">
        <v>17</v>
      </c>
      <c r="G31">
        <v>1</v>
      </c>
      <c r="H31">
        <v>39.99</v>
      </c>
      <c r="J31" t="s">
        <v>57</v>
      </c>
      <c r="K31" t="s">
        <v>20</v>
      </c>
      <c r="L31" t="s">
        <v>29</v>
      </c>
    </row>
    <row r="32" spans="1:13" x14ac:dyDescent="0.25">
      <c r="A32">
        <v>1030</v>
      </c>
      <c r="B32" t="s">
        <v>96</v>
      </c>
      <c r="C32" t="s">
        <v>14</v>
      </c>
      <c r="D32" t="s">
        <v>75</v>
      </c>
      <c r="E32" t="s">
        <v>107</v>
      </c>
      <c r="F32" t="s">
        <v>73</v>
      </c>
      <c r="G32">
        <v>5</v>
      </c>
      <c r="H32" t="s">
        <v>108</v>
      </c>
      <c r="J32" t="s">
        <v>33</v>
      </c>
      <c r="K32" t="s">
        <v>68</v>
      </c>
      <c r="L32" t="s">
        <v>35</v>
      </c>
    </row>
    <row r="33" spans="1:13" x14ac:dyDescent="0.25">
      <c r="A33">
        <v>1031</v>
      </c>
      <c r="B33" t="s">
        <v>109</v>
      </c>
      <c r="C33" t="s">
        <v>42</v>
      </c>
      <c r="E33" t="s">
        <v>72</v>
      </c>
      <c r="F33" t="s">
        <v>73</v>
      </c>
      <c r="G33">
        <v>2</v>
      </c>
      <c r="H33">
        <v>49.99</v>
      </c>
      <c r="J33" t="s">
        <v>33</v>
      </c>
      <c r="K33" t="s">
        <v>20</v>
      </c>
      <c r="L33" t="s">
        <v>40</v>
      </c>
    </row>
    <row r="34" spans="1:13" x14ac:dyDescent="0.25">
      <c r="A34">
        <v>1032</v>
      </c>
      <c r="C34" t="s">
        <v>65</v>
      </c>
      <c r="D34" t="s">
        <v>110</v>
      </c>
      <c r="E34" t="s">
        <v>49</v>
      </c>
      <c r="F34" t="s">
        <v>26</v>
      </c>
      <c r="G34">
        <v>-1</v>
      </c>
      <c r="H34">
        <v>14.99</v>
      </c>
      <c r="J34" t="s">
        <v>54</v>
      </c>
      <c r="K34" t="s">
        <v>20</v>
      </c>
      <c r="L34" t="s">
        <v>40</v>
      </c>
    </row>
    <row r="35" spans="1:13" x14ac:dyDescent="0.25">
      <c r="A35">
        <v>1033</v>
      </c>
      <c r="B35" t="s">
        <v>111</v>
      </c>
      <c r="C35" t="s">
        <v>42</v>
      </c>
      <c r="D35" t="s">
        <v>43</v>
      </c>
      <c r="E35" t="s">
        <v>82</v>
      </c>
      <c r="F35" t="s">
        <v>60</v>
      </c>
      <c r="G35">
        <v>3</v>
      </c>
      <c r="H35">
        <v>4.99</v>
      </c>
      <c r="J35" t="s">
        <v>54</v>
      </c>
      <c r="K35" t="s">
        <v>55</v>
      </c>
      <c r="L35" t="s">
        <v>35</v>
      </c>
    </row>
    <row r="36" spans="1:13" x14ac:dyDescent="0.25">
      <c r="A36">
        <v>1034</v>
      </c>
      <c r="B36" t="s">
        <v>112</v>
      </c>
      <c r="C36" t="s">
        <v>70</v>
      </c>
      <c r="D36" t="s">
        <v>71</v>
      </c>
      <c r="E36" t="s">
        <v>82</v>
      </c>
      <c r="F36" t="s">
        <v>60</v>
      </c>
      <c r="G36">
        <v>2</v>
      </c>
      <c r="H36">
        <v>4.99</v>
      </c>
      <c r="J36" t="s">
        <v>54</v>
      </c>
      <c r="K36" t="s">
        <v>20</v>
      </c>
      <c r="L36" t="s">
        <v>21</v>
      </c>
    </row>
    <row r="37" spans="1:13" x14ac:dyDescent="0.25">
      <c r="A37">
        <v>1035</v>
      </c>
      <c r="C37" t="s">
        <v>77</v>
      </c>
      <c r="D37" t="s">
        <v>103</v>
      </c>
      <c r="E37" t="s">
        <v>85</v>
      </c>
      <c r="F37" t="s">
        <v>26</v>
      </c>
      <c r="G37">
        <v>-1</v>
      </c>
      <c r="H37">
        <v>99.99</v>
      </c>
      <c r="J37" t="s">
        <v>33</v>
      </c>
      <c r="K37" t="s">
        <v>50</v>
      </c>
      <c r="L37" t="s">
        <v>40</v>
      </c>
      <c r="M37" t="s">
        <v>63</v>
      </c>
    </row>
    <row r="38" spans="1:13" x14ac:dyDescent="0.25">
      <c r="A38">
        <v>1036</v>
      </c>
      <c r="B38" t="s">
        <v>113</v>
      </c>
      <c r="D38" t="s">
        <v>114</v>
      </c>
      <c r="E38" t="s">
        <v>44</v>
      </c>
      <c r="F38" t="s">
        <v>17</v>
      </c>
      <c r="G38">
        <v>-1</v>
      </c>
      <c r="H38">
        <v>15.99</v>
      </c>
      <c r="J38" t="s">
        <v>33</v>
      </c>
      <c r="K38" t="s">
        <v>34</v>
      </c>
      <c r="L38" t="s">
        <v>29</v>
      </c>
    </row>
    <row r="39" spans="1:13" x14ac:dyDescent="0.25">
      <c r="A39">
        <v>1037</v>
      </c>
      <c r="B39" t="s">
        <v>115</v>
      </c>
      <c r="C39" t="s">
        <v>42</v>
      </c>
      <c r="D39" t="s">
        <v>116</v>
      </c>
      <c r="E39" t="s">
        <v>72</v>
      </c>
      <c r="F39" t="s">
        <v>73</v>
      </c>
      <c r="G39">
        <v>-1</v>
      </c>
      <c r="H39">
        <v>49.99</v>
      </c>
      <c r="J39" t="s">
        <v>27</v>
      </c>
      <c r="K39" t="s">
        <v>34</v>
      </c>
      <c r="L39" t="s">
        <v>46</v>
      </c>
    </row>
    <row r="40" spans="1:13" x14ac:dyDescent="0.25">
      <c r="A40">
        <v>1038</v>
      </c>
      <c r="C40" t="s">
        <v>77</v>
      </c>
      <c r="D40" t="s">
        <v>114</v>
      </c>
      <c r="E40" t="s">
        <v>89</v>
      </c>
      <c r="F40" t="s">
        <v>17</v>
      </c>
      <c r="G40">
        <v>1</v>
      </c>
      <c r="H40" t="s">
        <v>117</v>
      </c>
      <c r="J40" t="s">
        <v>62</v>
      </c>
      <c r="K40" t="s">
        <v>50</v>
      </c>
      <c r="L40" t="s">
        <v>40</v>
      </c>
    </row>
    <row r="41" spans="1:13" x14ac:dyDescent="0.25">
      <c r="A41">
        <v>1039</v>
      </c>
      <c r="B41" t="s">
        <v>118</v>
      </c>
      <c r="C41" t="s">
        <v>70</v>
      </c>
      <c r="D41" t="s">
        <v>88</v>
      </c>
      <c r="E41" t="s">
        <v>82</v>
      </c>
      <c r="F41" t="s">
        <v>60</v>
      </c>
      <c r="G41">
        <v>2</v>
      </c>
      <c r="H41">
        <v>4.99</v>
      </c>
      <c r="J41" t="s">
        <v>27</v>
      </c>
      <c r="K41" t="s">
        <v>34</v>
      </c>
      <c r="L41" t="s">
        <v>29</v>
      </c>
    </row>
    <row r="42" spans="1:13" x14ac:dyDescent="0.25">
      <c r="A42">
        <v>1040</v>
      </c>
      <c r="B42" t="s">
        <v>119</v>
      </c>
      <c r="C42" t="s">
        <v>77</v>
      </c>
      <c r="D42" t="s">
        <v>120</v>
      </c>
      <c r="E42" t="s">
        <v>59</v>
      </c>
      <c r="F42" t="s">
        <v>60</v>
      </c>
      <c r="H42">
        <v>4.99</v>
      </c>
      <c r="J42" t="s">
        <v>19</v>
      </c>
      <c r="K42" t="s">
        <v>50</v>
      </c>
      <c r="L42" t="s">
        <v>35</v>
      </c>
    </row>
    <row r="43" spans="1:13" x14ac:dyDescent="0.25">
      <c r="A43">
        <v>1041</v>
      </c>
      <c r="B43" t="s">
        <v>121</v>
      </c>
      <c r="C43" t="s">
        <v>14</v>
      </c>
      <c r="D43" t="s">
        <v>15</v>
      </c>
      <c r="E43" t="s">
        <v>31</v>
      </c>
      <c r="F43" t="s">
        <v>32</v>
      </c>
      <c r="G43">
        <v>3</v>
      </c>
      <c r="H43">
        <v>79.989999999999995</v>
      </c>
      <c r="J43" t="s">
        <v>57</v>
      </c>
      <c r="K43" t="s">
        <v>55</v>
      </c>
      <c r="L43" t="s">
        <v>35</v>
      </c>
    </row>
    <row r="44" spans="1:13" x14ac:dyDescent="0.25">
      <c r="A44">
        <v>1042</v>
      </c>
      <c r="C44" t="s">
        <v>70</v>
      </c>
      <c r="D44" t="s">
        <v>88</v>
      </c>
      <c r="E44" t="s">
        <v>52</v>
      </c>
      <c r="F44" t="s">
        <v>53</v>
      </c>
      <c r="G44">
        <v>1</v>
      </c>
      <c r="H44">
        <v>59.99</v>
      </c>
      <c r="J44" t="s">
        <v>27</v>
      </c>
      <c r="K44" t="s">
        <v>50</v>
      </c>
      <c r="L44" t="s">
        <v>21</v>
      </c>
    </row>
    <row r="45" spans="1:13" x14ac:dyDescent="0.25">
      <c r="A45">
        <v>1043</v>
      </c>
      <c r="B45" t="s">
        <v>122</v>
      </c>
      <c r="C45" t="s">
        <v>65</v>
      </c>
      <c r="D45" t="s">
        <v>123</v>
      </c>
      <c r="E45" t="s">
        <v>52</v>
      </c>
      <c r="F45" t="s">
        <v>53</v>
      </c>
      <c r="G45">
        <v>1</v>
      </c>
      <c r="H45">
        <v>59.99</v>
      </c>
      <c r="J45" t="s">
        <v>57</v>
      </c>
      <c r="K45" t="s">
        <v>28</v>
      </c>
      <c r="L45" t="s">
        <v>35</v>
      </c>
    </row>
    <row r="46" spans="1:13" x14ac:dyDescent="0.25">
      <c r="A46">
        <v>1044</v>
      </c>
      <c r="C46" t="s">
        <v>70</v>
      </c>
      <c r="D46" t="s">
        <v>71</v>
      </c>
      <c r="E46" t="s">
        <v>92</v>
      </c>
      <c r="F46" t="s">
        <v>26</v>
      </c>
      <c r="G46">
        <v>5</v>
      </c>
      <c r="H46" t="s">
        <v>56</v>
      </c>
      <c r="J46" t="s">
        <v>57</v>
      </c>
      <c r="K46" t="s">
        <v>55</v>
      </c>
      <c r="L46" t="s">
        <v>40</v>
      </c>
    </row>
    <row r="47" spans="1:13" x14ac:dyDescent="0.25">
      <c r="A47">
        <v>1045</v>
      </c>
      <c r="B47" t="s">
        <v>76</v>
      </c>
      <c r="C47" t="s">
        <v>23</v>
      </c>
      <c r="D47" t="s">
        <v>124</v>
      </c>
      <c r="E47" t="s">
        <v>85</v>
      </c>
      <c r="F47" t="s">
        <v>26</v>
      </c>
      <c r="H47">
        <v>99.99</v>
      </c>
      <c r="J47" t="s">
        <v>33</v>
      </c>
      <c r="K47" t="s">
        <v>20</v>
      </c>
      <c r="L47" t="s">
        <v>40</v>
      </c>
    </row>
    <row r="48" spans="1:13" x14ac:dyDescent="0.25">
      <c r="A48">
        <v>1046</v>
      </c>
      <c r="C48" t="s">
        <v>14</v>
      </c>
      <c r="D48" t="s">
        <v>84</v>
      </c>
      <c r="E48" t="s">
        <v>31</v>
      </c>
      <c r="F48" t="s">
        <v>32</v>
      </c>
      <c r="H48" t="s">
        <v>125</v>
      </c>
      <c r="J48" t="s">
        <v>33</v>
      </c>
      <c r="K48" t="s">
        <v>50</v>
      </c>
      <c r="L48" t="s">
        <v>40</v>
      </c>
    </row>
    <row r="49" spans="1:13" x14ac:dyDescent="0.25">
      <c r="A49">
        <v>1047</v>
      </c>
      <c r="C49" t="s">
        <v>65</v>
      </c>
      <c r="D49" t="s">
        <v>126</v>
      </c>
      <c r="E49" t="s">
        <v>44</v>
      </c>
      <c r="F49" t="s">
        <v>17</v>
      </c>
      <c r="G49">
        <v>-1</v>
      </c>
      <c r="H49">
        <v>15.99</v>
      </c>
      <c r="J49" t="s">
        <v>27</v>
      </c>
      <c r="K49" t="s">
        <v>45</v>
      </c>
      <c r="L49" t="s">
        <v>40</v>
      </c>
      <c r="M49" t="s">
        <v>63</v>
      </c>
    </row>
    <row r="50" spans="1:13" x14ac:dyDescent="0.25">
      <c r="A50">
        <v>1048</v>
      </c>
      <c r="C50" t="s">
        <v>37</v>
      </c>
      <c r="D50" t="s">
        <v>38</v>
      </c>
      <c r="E50" t="s">
        <v>127</v>
      </c>
      <c r="F50" t="s">
        <v>73</v>
      </c>
      <c r="G50">
        <v>3</v>
      </c>
      <c r="H50">
        <v>29.99</v>
      </c>
      <c r="J50" t="s">
        <v>33</v>
      </c>
      <c r="K50" t="s">
        <v>45</v>
      </c>
      <c r="L50" t="s">
        <v>40</v>
      </c>
    </row>
    <row r="51" spans="1:13" x14ac:dyDescent="0.25">
      <c r="A51">
        <v>1049</v>
      </c>
      <c r="B51" t="s">
        <v>128</v>
      </c>
      <c r="C51" t="s">
        <v>14</v>
      </c>
      <c r="D51" t="s">
        <v>84</v>
      </c>
      <c r="E51" t="s">
        <v>107</v>
      </c>
      <c r="F51" t="s">
        <v>73</v>
      </c>
      <c r="H51">
        <v>49.99</v>
      </c>
      <c r="J51" t="s">
        <v>19</v>
      </c>
      <c r="K51" t="s">
        <v>129</v>
      </c>
      <c r="L51" t="s">
        <v>29</v>
      </c>
    </row>
    <row r="52" spans="1:13" x14ac:dyDescent="0.25">
      <c r="A52">
        <v>1050</v>
      </c>
      <c r="B52" t="s">
        <v>130</v>
      </c>
      <c r="C52" t="s">
        <v>70</v>
      </c>
      <c r="D52" t="s">
        <v>131</v>
      </c>
      <c r="E52" t="s">
        <v>52</v>
      </c>
      <c r="F52" t="s">
        <v>53</v>
      </c>
      <c r="G52">
        <v>2</v>
      </c>
      <c r="H52">
        <v>59.99</v>
      </c>
      <c r="J52" t="s">
        <v>27</v>
      </c>
      <c r="K52" t="s">
        <v>55</v>
      </c>
      <c r="L52" t="s">
        <v>29</v>
      </c>
    </row>
    <row r="53" spans="1:13" x14ac:dyDescent="0.25">
      <c r="A53">
        <v>1051</v>
      </c>
      <c r="C53" t="s">
        <v>14</v>
      </c>
      <c r="D53" t="s">
        <v>75</v>
      </c>
      <c r="E53" t="s">
        <v>72</v>
      </c>
      <c r="F53" t="s">
        <v>73</v>
      </c>
      <c r="H53">
        <v>49.99</v>
      </c>
      <c r="J53" t="s">
        <v>27</v>
      </c>
      <c r="K53" t="s">
        <v>50</v>
      </c>
      <c r="L53" t="s">
        <v>40</v>
      </c>
    </row>
    <row r="54" spans="1:13" x14ac:dyDescent="0.25">
      <c r="A54">
        <v>1052</v>
      </c>
      <c r="C54" t="s">
        <v>23</v>
      </c>
      <c r="E54" t="s">
        <v>92</v>
      </c>
      <c r="F54" t="s">
        <v>26</v>
      </c>
      <c r="G54">
        <v>1</v>
      </c>
      <c r="H54">
        <v>14.99</v>
      </c>
      <c r="J54" t="s">
        <v>57</v>
      </c>
      <c r="K54" t="s">
        <v>28</v>
      </c>
      <c r="L54" t="s">
        <v>46</v>
      </c>
    </row>
    <row r="55" spans="1:13" x14ac:dyDescent="0.25">
      <c r="A55">
        <v>1053</v>
      </c>
      <c r="B55" t="s">
        <v>132</v>
      </c>
      <c r="C55" t="s">
        <v>65</v>
      </c>
      <c r="D55" t="s">
        <v>133</v>
      </c>
      <c r="E55" t="s">
        <v>39</v>
      </c>
      <c r="F55" t="s">
        <v>17</v>
      </c>
      <c r="G55">
        <v>1</v>
      </c>
      <c r="H55">
        <v>39.99</v>
      </c>
      <c r="J55" t="s">
        <v>33</v>
      </c>
      <c r="K55" t="s">
        <v>45</v>
      </c>
      <c r="L55" t="s">
        <v>21</v>
      </c>
    </row>
    <row r="56" spans="1:13" x14ac:dyDescent="0.25">
      <c r="A56">
        <v>1054</v>
      </c>
      <c r="B56" t="s">
        <v>134</v>
      </c>
      <c r="C56" t="s">
        <v>77</v>
      </c>
      <c r="D56" t="s">
        <v>91</v>
      </c>
      <c r="E56" t="s">
        <v>89</v>
      </c>
      <c r="F56" t="s">
        <v>17</v>
      </c>
      <c r="G56">
        <v>4</v>
      </c>
      <c r="H56" t="s">
        <v>117</v>
      </c>
      <c r="J56" t="s">
        <v>54</v>
      </c>
      <c r="K56" t="s">
        <v>20</v>
      </c>
      <c r="L56" t="s">
        <v>21</v>
      </c>
    </row>
    <row r="57" spans="1:13" x14ac:dyDescent="0.25">
      <c r="A57">
        <v>1055</v>
      </c>
      <c r="B57" t="s">
        <v>135</v>
      </c>
      <c r="C57" t="s">
        <v>77</v>
      </c>
      <c r="D57" t="s">
        <v>78</v>
      </c>
      <c r="E57" t="s">
        <v>25</v>
      </c>
      <c r="F57" t="s">
        <v>26</v>
      </c>
      <c r="G57">
        <v>4</v>
      </c>
      <c r="H57">
        <v>99.99</v>
      </c>
      <c r="J57" t="s">
        <v>27</v>
      </c>
      <c r="K57" t="s">
        <v>68</v>
      </c>
      <c r="L57" t="s">
        <v>46</v>
      </c>
    </row>
    <row r="58" spans="1:13" x14ac:dyDescent="0.25">
      <c r="A58">
        <v>1056</v>
      </c>
      <c r="B58" t="s">
        <v>136</v>
      </c>
      <c r="C58" t="s">
        <v>14</v>
      </c>
      <c r="D58" t="s">
        <v>15</v>
      </c>
      <c r="E58" t="s">
        <v>127</v>
      </c>
      <c r="F58" t="s">
        <v>73</v>
      </c>
      <c r="G58">
        <v>2</v>
      </c>
      <c r="H58" t="s">
        <v>137</v>
      </c>
      <c r="J58" t="s">
        <v>62</v>
      </c>
      <c r="K58" t="s">
        <v>34</v>
      </c>
      <c r="L58" t="s">
        <v>40</v>
      </c>
    </row>
    <row r="59" spans="1:13" x14ac:dyDescent="0.25">
      <c r="A59">
        <v>1057</v>
      </c>
      <c r="B59" t="s">
        <v>138</v>
      </c>
      <c r="C59" t="s">
        <v>77</v>
      </c>
      <c r="D59" t="s">
        <v>78</v>
      </c>
      <c r="E59" t="s">
        <v>44</v>
      </c>
      <c r="F59" t="s">
        <v>17</v>
      </c>
      <c r="G59">
        <v>-1</v>
      </c>
      <c r="H59">
        <v>15.99</v>
      </c>
      <c r="J59" t="s">
        <v>54</v>
      </c>
      <c r="K59" t="s">
        <v>45</v>
      </c>
      <c r="L59" t="s">
        <v>35</v>
      </c>
    </row>
    <row r="60" spans="1:13" x14ac:dyDescent="0.25">
      <c r="A60">
        <v>1058</v>
      </c>
      <c r="B60" t="s">
        <v>139</v>
      </c>
      <c r="C60" t="s">
        <v>42</v>
      </c>
      <c r="D60" t="s">
        <v>116</v>
      </c>
      <c r="E60" t="s">
        <v>85</v>
      </c>
      <c r="F60" t="s">
        <v>26</v>
      </c>
      <c r="G60">
        <v>3</v>
      </c>
      <c r="H60">
        <v>99.99</v>
      </c>
      <c r="J60" t="s">
        <v>62</v>
      </c>
      <c r="K60" t="s">
        <v>129</v>
      </c>
      <c r="L60" t="s">
        <v>21</v>
      </c>
    </row>
    <row r="61" spans="1:13" x14ac:dyDescent="0.25">
      <c r="A61">
        <v>1059</v>
      </c>
      <c r="B61" t="s">
        <v>140</v>
      </c>
      <c r="C61" t="s">
        <v>65</v>
      </c>
      <c r="D61" t="s">
        <v>66</v>
      </c>
      <c r="E61" t="s">
        <v>127</v>
      </c>
      <c r="F61" t="s">
        <v>73</v>
      </c>
      <c r="G61">
        <v>2</v>
      </c>
      <c r="H61">
        <v>29.99</v>
      </c>
      <c r="J61" t="s">
        <v>62</v>
      </c>
      <c r="K61" t="s">
        <v>129</v>
      </c>
      <c r="L61" t="s">
        <v>40</v>
      </c>
    </row>
    <row r="62" spans="1:13" x14ac:dyDescent="0.25">
      <c r="A62">
        <v>1060</v>
      </c>
      <c r="B62" t="s">
        <v>141</v>
      </c>
      <c r="C62" t="s">
        <v>42</v>
      </c>
      <c r="D62" t="s">
        <v>116</v>
      </c>
      <c r="E62" t="s">
        <v>31</v>
      </c>
      <c r="F62" t="s">
        <v>32</v>
      </c>
      <c r="G62">
        <v>2</v>
      </c>
      <c r="H62">
        <v>79.989999999999995</v>
      </c>
      <c r="J62" t="s">
        <v>19</v>
      </c>
      <c r="K62" t="s">
        <v>34</v>
      </c>
      <c r="L62" t="s">
        <v>35</v>
      </c>
    </row>
    <row r="63" spans="1:13" x14ac:dyDescent="0.25">
      <c r="A63">
        <v>1061</v>
      </c>
      <c r="B63" t="s">
        <v>142</v>
      </c>
      <c r="C63" t="s">
        <v>65</v>
      </c>
      <c r="D63" t="s">
        <v>126</v>
      </c>
      <c r="E63" t="s">
        <v>82</v>
      </c>
      <c r="F63" t="s">
        <v>60</v>
      </c>
      <c r="H63" t="s">
        <v>61</v>
      </c>
      <c r="J63" t="s">
        <v>27</v>
      </c>
      <c r="K63" t="s">
        <v>34</v>
      </c>
      <c r="L63" t="s">
        <v>21</v>
      </c>
    </row>
    <row r="64" spans="1:13" x14ac:dyDescent="0.25">
      <c r="A64">
        <v>1062</v>
      </c>
      <c r="B64" t="s">
        <v>143</v>
      </c>
      <c r="C64" t="s">
        <v>70</v>
      </c>
      <c r="D64" t="s">
        <v>144</v>
      </c>
      <c r="E64" t="s">
        <v>52</v>
      </c>
      <c r="F64" t="s">
        <v>53</v>
      </c>
      <c r="G64">
        <v>2</v>
      </c>
      <c r="H64" t="s">
        <v>97</v>
      </c>
      <c r="J64" t="s">
        <v>62</v>
      </c>
      <c r="K64" t="s">
        <v>28</v>
      </c>
      <c r="L64" t="s">
        <v>40</v>
      </c>
    </row>
    <row r="65" spans="1:12" x14ac:dyDescent="0.25">
      <c r="A65">
        <v>1063</v>
      </c>
      <c r="C65" t="s">
        <v>42</v>
      </c>
      <c r="D65" t="s">
        <v>48</v>
      </c>
      <c r="E65" t="s">
        <v>92</v>
      </c>
      <c r="F65" t="s">
        <v>26</v>
      </c>
      <c r="G65">
        <v>3</v>
      </c>
      <c r="H65">
        <v>14.99</v>
      </c>
      <c r="J65" t="s">
        <v>57</v>
      </c>
      <c r="K65" t="s">
        <v>45</v>
      </c>
      <c r="L65" t="s">
        <v>21</v>
      </c>
    </row>
    <row r="66" spans="1:12" x14ac:dyDescent="0.25">
      <c r="A66">
        <v>1064</v>
      </c>
      <c r="B66" t="s">
        <v>145</v>
      </c>
      <c r="C66" t="s">
        <v>65</v>
      </c>
      <c r="D66" t="s">
        <v>66</v>
      </c>
      <c r="E66" t="s">
        <v>59</v>
      </c>
      <c r="F66" t="s">
        <v>60</v>
      </c>
      <c r="G66">
        <v>2</v>
      </c>
      <c r="H66">
        <v>4.99</v>
      </c>
      <c r="J66" t="s">
        <v>62</v>
      </c>
      <c r="K66" t="s">
        <v>50</v>
      </c>
      <c r="L66" t="s">
        <v>35</v>
      </c>
    </row>
    <row r="67" spans="1:12" x14ac:dyDescent="0.25">
      <c r="A67">
        <v>1065</v>
      </c>
      <c r="B67" t="s">
        <v>146</v>
      </c>
      <c r="C67" t="s">
        <v>70</v>
      </c>
      <c r="D67" t="s">
        <v>131</v>
      </c>
      <c r="E67" t="s">
        <v>52</v>
      </c>
      <c r="F67" t="s">
        <v>53</v>
      </c>
      <c r="G67">
        <v>5</v>
      </c>
      <c r="H67">
        <v>59.99</v>
      </c>
      <c r="J67" t="s">
        <v>19</v>
      </c>
      <c r="K67" t="s">
        <v>28</v>
      </c>
      <c r="L67" t="s">
        <v>40</v>
      </c>
    </row>
    <row r="68" spans="1:12" x14ac:dyDescent="0.25">
      <c r="A68">
        <v>1066</v>
      </c>
      <c r="B68" t="s">
        <v>147</v>
      </c>
      <c r="C68" t="s">
        <v>23</v>
      </c>
      <c r="D68" t="s">
        <v>81</v>
      </c>
      <c r="E68" t="s">
        <v>59</v>
      </c>
      <c r="F68" t="s">
        <v>60</v>
      </c>
      <c r="G68">
        <v>2</v>
      </c>
      <c r="H68">
        <v>4.99</v>
      </c>
      <c r="J68" t="s">
        <v>33</v>
      </c>
      <c r="K68" t="s">
        <v>55</v>
      </c>
      <c r="L68" t="s">
        <v>35</v>
      </c>
    </row>
    <row r="69" spans="1:12" x14ac:dyDescent="0.25">
      <c r="A69">
        <v>1067</v>
      </c>
      <c r="B69" t="s">
        <v>148</v>
      </c>
      <c r="D69" t="s">
        <v>131</v>
      </c>
      <c r="E69" t="s">
        <v>127</v>
      </c>
      <c r="F69" t="s">
        <v>73</v>
      </c>
      <c r="G69">
        <v>4</v>
      </c>
      <c r="H69">
        <v>29.99</v>
      </c>
      <c r="J69" t="s">
        <v>27</v>
      </c>
      <c r="K69" t="s">
        <v>28</v>
      </c>
      <c r="L69" t="s">
        <v>21</v>
      </c>
    </row>
    <row r="70" spans="1:12" x14ac:dyDescent="0.25">
      <c r="A70">
        <v>1068</v>
      </c>
      <c r="B70" t="s">
        <v>149</v>
      </c>
      <c r="C70" t="s">
        <v>37</v>
      </c>
      <c r="D70" t="s">
        <v>38</v>
      </c>
      <c r="E70" t="s">
        <v>59</v>
      </c>
      <c r="F70" t="s">
        <v>60</v>
      </c>
      <c r="G70">
        <v>3</v>
      </c>
      <c r="H70" t="s">
        <v>61</v>
      </c>
      <c r="J70" t="s">
        <v>57</v>
      </c>
      <c r="K70" t="s">
        <v>45</v>
      </c>
      <c r="L70" t="s">
        <v>46</v>
      </c>
    </row>
    <row r="71" spans="1:12" x14ac:dyDescent="0.25">
      <c r="A71">
        <v>1069</v>
      </c>
      <c r="B71" t="s">
        <v>150</v>
      </c>
      <c r="C71" t="s">
        <v>70</v>
      </c>
      <c r="D71" t="s">
        <v>71</v>
      </c>
      <c r="E71" t="s">
        <v>39</v>
      </c>
      <c r="F71" t="s">
        <v>17</v>
      </c>
      <c r="H71">
        <v>39.99</v>
      </c>
      <c r="J71" t="s">
        <v>54</v>
      </c>
      <c r="K71" t="s">
        <v>28</v>
      </c>
      <c r="L71" t="s">
        <v>35</v>
      </c>
    </row>
    <row r="72" spans="1:12" x14ac:dyDescent="0.25">
      <c r="A72">
        <v>1070</v>
      </c>
      <c r="C72" t="s">
        <v>42</v>
      </c>
      <c r="D72" t="s">
        <v>48</v>
      </c>
      <c r="E72" t="s">
        <v>44</v>
      </c>
      <c r="F72" t="s">
        <v>17</v>
      </c>
      <c r="H72" t="s">
        <v>18</v>
      </c>
      <c r="J72" t="s">
        <v>19</v>
      </c>
      <c r="K72" t="s">
        <v>20</v>
      </c>
      <c r="L72" t="s">
        <v>35</v>
      </c>
    </row>
    <row r="73" spans="1:12" x14ac:dyDescent="0.25">
      <c r="A73">
        <v>1071</v>
      </c>
      <c r="B73" t="s">
        <v>151</v>
      </c>
      <c r="C73" t="s">
        <v>70</v>
      </c>
      <c r="D73" t="s">
        <v>131</v>
      </c>
      <c r="E73" t="s">
        <v>39</v>
      </c>
      <c r="F73" t="s">
        <v>17</v>
      </c>
      <c r="H73">
        <v>39.99</v>
      </c>
      <c r="J73" t="s">
        <v>19</v>
      </c>
      <c r="K73" t="s">
        <v>129</v>
      </c>
      <c r="L73" t="s">
        <v>35</v>
      </c>
    </row>
    <row r="74" spans="1:12" x14ac:dyDescent="0.25">
      <c r="A74">
        <v>1072</v>
      </c>
      <c r="C74" t="s">
        <v>23</v>
      </c>
      <c r="D74" t="s">
        <v>152</v>
      </c>
      <c r="E74" t="s">
        <v>44</v>
      </c>
      <c r="F74" t="s">
        <v>17</v>
      </c>
      <c r="G74">
        <v>-1</v>
      </c>
      <c r="H74" t="s">
        <v>18</v>
      </c>
      <c r="J74" t="s">
        <v>54</v>
      </c>
      <c r="K74" t="s">
        <v>55</v>
      </c>
      <c r="L74" t="s">
        <v>21</v>
      </c>
    </row>
    <row r="75" spans="1:12" x14ac:dyDescent="0.25">
      <c r="A75">
        <v>1073</v>
      </c>
      <c r="B75" t="s">
        <v>153</v>
      </c>
      <c r="C75" t="s">
        <v>23</v>
      </c>
      <c r="D75" t="s">
        <v>124</v>
      </c>
      <c r="E75" t="s">
        <v>44</v>
      </c>
      <c r="F75" t="s">
        <v>17</v>
      </c>
      <c r="G75">
        <v>-1</v>
      </c>
      <c r="H75" t="s">
        <v>18</v>
      </c>
      <c r="J75" t="s">
        <v>57</v>
      </c>
      <c r="K75" t="s">
        <v>28</v>
      </c>
      <c r="L75" t="s">
        <v>35</v>
      </c>
    </row>
    <row r="76" spans="1:12" x14ac:dyDescent="0.25">
      <c r="A76">
        <v>1074</v>
      </c>
      <c r="B76" t="s">
        <v>154</v>
      </c>
      <c r="C76" t="s">
        <v>65</v>
      </c>
      <c r="D76" t="s">
        <v>126</v>
      </c>
      <c r="E76" t="s">
        <v>107</v>
      </c>
      <c r="F76" t="s">
        <v>73</v>
      </c>
      <c r="G76">
        <v>3</v>
      </c>
      <c r="H76">
        <v>49.99</v>
      </c>
      <c r="J76" t="s">
        <v>57</v>
      </c>
      <c r="K76" t="s">
        <v>68</v>
      </c>
      <c r="L76" t="s">
        <v>21</v>
      </c>
    </row>
    <row r="77" spans="1:12" x14ac:dyDescent="0.25">
      <c r="A77">
        <v>1075</v>
      </c>
      <c r="C77" t="s">
        <v>23</v>
      </c>
      <c r="D77" t="s">
        <v>124</v>
      </c>
      <c r="E77" t="s">
        <v>52</v>
      </c>
      <c r="F77" t="s">
        <v>53</v>
      </c>
      <c r="G77">
        <v>5</v>
      </c>
      <c r="H77">
        <v>59.99</v>
      </c>
      <c r="J77" t="s">
        <v>62</v>
      </c>
      <c r="K77" t="s">
        <v>28</v>
      </c>
      <c r="L77" t="s">
        <v>46</v>
      </c>
    </row>
    <row r="78" spans="1:12" x14ac:dyDescent="0.25">
      <c r="A78">
        <v>1076</v>
      </c>
      <c r="B78" t="s">
        <v>155</v>
      </c>
      <c r="C78" t="s">
        <v>65</v>
      </c>
      <c r="D78" t="s">
        <v>66</v>
      </c>
      <c r="E78" t="s">
        <v>72</v>
      </c>
      <c r="F78" t="s">
        <v>73</v>
      </c>
      <c r="H78">
        <v>49.99</v>
      </c>
      <c r="J78" t="s">
        <v>27</v>
      </c>
      <c r="K78" t="s">
        <v>20</v>
      </c>
      <c r="L78" t="s">
        <v>46</v>
      </c>
    </row>
    <row r="79" spans="1:12" x14ac:dyDescent="0.25">
      <c r="A79">
        <v>1077</v>
      </c>
      <c r="B79" t="s">
        <v>156</v>
      </c>
      <c r="C79" t="s">
        <v>70</v>
      </c>
      <c r="D79" t="s">
        <v>131</v>
      </c>
      <c r="E79" t="s">
        <v>31</v>
      </c>
      <c r="F79" t="s">
        <v>32</v>
      </c>
      <c r="G79">
        <v>2</v>
      </c>
      <c r="H79" t="s">
        <v>125</v>
      </c>
      <c r="J79" t="s">
        <v>27</v>
      </c>
      <c r="K79" t="s">
        <v>129</v>
      </c>
      <c r="L79" t="s">
        <v>46</v>
      </c>
    </row>
    <row r="80" spans="1:12" x14ac:dyDescent="0.25">
      <c r="A80">
        <v>1078</v>
      </c>
      <c r="B80" t="s">
        <v>157</v>
      </c>
      <c r="C80" t="s">
        <v>42</v>
      </c>
      <c r="D80" t="s">
        <v>116</v>
      </c>
      <c r="E80" t="s">
        <v>39</v>
      </c>
      <c r="F80" t="s">
        <v>17</v>
      </c>
      <c r="G80">
        <v>1</v>
      </c>
      <c r="H80">
        <v>39.99</v>
      </c>
      <c r="J80" t="s">
        <v>19</v>
      </c>
      <c r="K80" t="s">
        <v>45</v>
      </c>
      <c r="L80" t="s">
        <v>46</v>
      </c>
    </row>
    <row r="81" spans="1:12" x14ac:dyDescent="0.25">
      <c r="A81">
        <v>1079</v>
      </c>
      <c r="B81" t="s">
        <v>158</v>
      </c>
      <c r="C81" t="s">
        <v>77</v>
      </c>
      <c r="D81" t="s">
        <v>103</v>
      </c>
      <c r="E81" t="s">
        <v>67</v>
      </c>
      <c r="F81" t="s">
        <v>32</v>
      </c>
      <c r="G81">
        <v>2</v>
      </c>
      <c r="H81" t="s">
        <v>125</v>
      </c>
      <c r="J81" t="s">
        <v>54</v>
      </c>
      <c r="K81" t="s">
        <v>68</v>
      </c>
      <c r="L81" t="s">
        <v>35</v>
      </c>
    </row>
    <row r="82" spans="1:12" x14ac:dyDescent="0.25">
      <c r="A82">
        <v>1080</v>
      </c>
      <c r="B82" t="s">
        <v>159</v>
      </c>
      <c r="C82" t="s">
        <v>70</v>
      </c>
      <c r="D82" t="s">
        <v>131</v>
      </c>
      <c r="E82" t="s">
        <v>72</v>
      </c>
      <c r="F82" t="s">
        <v>73</v>
      </c>
      <c r="G82">
        <v>2</v>
      </c>
      <c r="H82">
        <v>49.99</v>
      </c>
      <c r="J82" t="s">
        <v>57</v>
      </c>
      <c r="K82" t="s">
        <v>129</v>
      </c>
      <c r="L82" t="s">
        <v>29</v>
      </c>
    </row>
    <row r="83" spans="1:12" x14ac:dyDescent="0.25">
      <c r="A83">
        <v>1081</v>
      </c>
      <c r="B83" t="s">
        <v>160</v>
      </c>
      <c r="C83" t="s">
        <v>14</v>
      </c>
      <c r="D83" t="s">
        <v>15</v>
      </c>
      <c r="E83" t="s">
        <v>25</v>
      </c>
      <c r="F83" t="s">
        <v>26</v>
      </c>
      <c r="H83" t="s">
        <v>86</v>
      </c>
      <c r="J83" t="s">
        <v>54</v>
      </c>
      <c r="K83" t="s">
        <v>34</v>
      </c>
      <c r="L83" t="s">
        <v>35</v>
      </c>
    </row>
    <row r="84" spans="1:12" x14ac:dyDescent="0.25">
      <c r="A84">
        <v>1082</v>
      </c>
      <c r="B84" t="s">
        <v>161</v>
      </c>
      <c r="C84" t="s">
        <v>37</v>
      </c>
      <c r="D84" t="s">
        <v>162</v>
      </c>
      <c r="E84" t="s">
        <v>92</v>
      </c>
      <c r="F84" t="s">
        <v>26</v>
      </c>
      <c r="G84">
        <v>4</v>
      </c>
      <c r="H84">
        <v>14.99</v>
      </c>
      <c r="J84" t="s">
        <v>27</v>
      </c>
      <c r="K84" t="s">
        <v>50</v>
      </c>
      <c r="L84" t="s">
        <v>40</v>
      </c>
    </row>
    <row r="85" spans="1:12" x14ac:dyDescent="0.25">
      <c r="A85">
        <v>1083</v>
      </c>
      <c r="B85" t="s">
        <v>163</v>
      </c>
      <c r="C85" t="s">
        <v>42</v>
      </c>
      <c r="D85" t="s">
        <v>116</v>
      </c>
      <c r="E85" t="s">
        <v>82</v>
      </c>
      <c r="F85" t="s">
        <v>60</v>
      </c>
      <c r="G85">
        <v>3</v>
      </c>
      <c r="H85" t="s">
        <v>61</v>
      </c>
      <c r="J85" t="s">
        <v>62</v>
      </c>
      <c r="K85" t="s">
        <v>34</v>
      </c>
      <c r="L85" t="s">
        <v>46</v>
      </c>
    </row>
    <row r="86" spans="1:12" x14ac:dyDescent="0.25">
      <c r="A86">
        <v>1084</v>
      </c>
      <c r="C86" t="s">
        <v>23</v>
      </c>
      <c r="D86" t="s">
        <v>24</v>
      </c>
      <c r="E86" t="s">
        <v>92</v>
      </c>
      <c r="F86" t="s">
        <v>26</v>
      </c>
      <c r="G86">
        <v>-1</v>
      </c>
      <c r="H86">
        <v>14.99</v>
      </c>
      <c r="J86" t="s">
        <v>57</v>
      </c>
      <c r="K86" t="s">
        <v>129</v>
      </c>
      <c r="L86" t="s">
        <v>35</v>
      </c>
    </row>
    <row r="87" spans="1:12" x14ac:dyDescent="0.25">
      <c r="A87">
        <v>1085</v>
      </c>
      <c r="B87" t="s">
        <v>13</v>
      </c>
      <c r="C87" t="s">
        <v>37</v>
      </c>
      <c r="D87" t="s">
        <v>162</v>
      </c>
      <c r="E87" t="s">
        <v>39</v>
      </c>
      <c r="F87" t="s">
        <v>17</v>
      </c>
      <c r="G87">
        <v>3</v>
      </c>
      <c r="H87">
        <v>39.99</v>
      </c>
      <c r="J87" t="s">
        <v>57</v>
      </c>
      <c r="K87" t="s">
        <v>129</v>
      </c>
      <c r="L87" t="s">
        <v>40</v>
      </c>
    </row>
    <row r="88" spans="1:12" x14ac:dyDescent="0.25">
      <c r="A88">
        <v>1086</v>
      </c>
      <c r="B88" t="s">
        <v>164</v>
      </c>
      <c r="C88" t="s">
        <v>37</v>
      </c>
      <c r="E88" t="s">
        <v>85</v>
      </c>
      <c r="F88" t="s">
        <v>26</v>
      </c>
      <c r="G88">
        <v>3</v>
      </c>
      <c r="H88" t="s">
        <v>86</v>
      </c>
      <c r="J88" t="s">
        <v>54</v>
      </c>
      <c r="K88" t="s">
        <v>68</v>
      </c>
      <c r="L88" t="s">
        <v>21</v>
      </c>
    </row>
    <row r="89" spans="1:12" x14ac:dyDescent="0.25">
      <c r="A89">
        <v>1087</v>
      </c>
      <c r="B89" t="s">
        <v>165</v>
      </c>
      <c r="C89" t="s">
        <v>70</v>
      </c>
      <c r="D89" t="s">
        <v>71</v>
      </c>
      <c r="E89" t="s">
        <v>92</v>
      </c>
      <c r="F89" t="s">
        <v>26</v>
      </c>
      <c r="G89">
        <v>1</v>
      </c>
      <c r="H89" t="s">
        <v>56</v>
      </c>
      <c r="J89" t="s">
        <v>57</v>
      </c>
      <c r="K89" t="s">
        <v>34</v>
      </c>
      <c r="L89" t="s">
        <v>29</v>
      </c>
    </row>
    <row r="90" spans="1:12" x14ac:dyDescent="0.25">
      <c r="A90">
        <v>1088</v>
      </c>
      <c r="D90" t="s">
        <v>131</v>
      </c>
      <c r="E90" t="s">
        <v>25</v>
      </c>
      <c r="F90" t="s">
        <v>26</v>
      </c>
      <c r="G90">
        <v>3</v>
      </c>
      <c r="H90">
        <v>99.99</v>
      </c>
      <c r="J90" t="s">
        <v>57</v>
      </c>
      <c r="K90" t="s">
        <v>68</v>
      </c>
      <c r="L90" t="s">
        <v>40</v>
      </c>
    </row>
    <row r="91" spans="1:12" x14ac:dyDescent="0.25">
      <c r="A91">
        <v>1089</v>
      </c>
      <c r="B91" t="s">
        <v>166</v>
      </c>
      <c r="D91" t="s">
        <v>91</v>
      </c>
      <c r="E91" t="s">
        <v>52</v>
      </c>
      <c r="F91" t="s">
        <v>53</v>
      </c>
      <c r="G91">
        <v>2</v>
      </c>
      <c r="H91">
        <v>59.99</v>
      </c>
      <c r="J91" t="s">
        <v>19</v>
      </c>
      <c r="K91" t="s">
        <v>129</v>
      </c>
      <c r="L91" t="s">
        <v>29</v>
      </c>
    </row>
    <row r="92" spans="1:12" x14ac:dyDescent="0.25">
      <c r="A92">
        <v>1090</v>
      </c>
      <c r="C92" t="s">
        <v>65</v>
      </c>
      <c r="D92" t="s">
        <v>126</v>
      </c>
      <c r="E92" t="s">
        <v>85</v>
      </c>
      <c r="F92" t="s">
        <v>26</v>
      </c>
      <c r="G92">
        <v>3</v>
      </c>
      <c r="H92" t="s">
        <v>86</v>
      </c>
      <c r="J92" t="s">
        <v>62</v>
      </c>
      <c r="K92" t="s">
        <v>34</v>
      </c>
      <c r="L92" t="s">
        <v>29</v>
      </c>
    </row>
    <row r="93" spans="1:12" x14ac:dyDescent="0.25">
      <c r="A93">
        <v>1091</v>
      </c>
      <c r="C93" t="s">
        <v>37</v>
      </c>
      <c r="D93" t="s">
        <v>162</v>
      </c>
      <c r="E93" t="s">
        <v>39</v>
      </c>
      <c r="F93" t="s">
        <v>17</v>
      </c>
      <c r="H93">
        <v>39.99</v>
      </c>
      <c r="J93" t="s">
        <v>19</v>
      </c>
      <c r="K93" t="s">
        <v>28</v>
      </c>
      <c r="L93" t="s">
        <v>29</v>
      </c>
    </row>
    <row r="94" spans="1:12" x14ac:dyDescent="0.25">
      <c r="A94">
        <v>1092</v>
      </c>
      <c r="B94" t="s">
        <v>167</v>
      </c>
      <c r="C94" t="s">
        <v>65</v>
      </c>
      <c r="D94" t="s">
        <v>126</v>
      </c>
      <c r="E94" t="s">
        <v>72</v>
      </c>
      <c r="F94" t="s">
        <v>73</v>
      </c>
      <c r="G94">
        <v>-1</v>
      </c>
      <c r="H94">
        <v>49.99</v>
      </c>
      <c r="J94" t="s">
        <v>62</v>
      </c>
      <c r="K94" t="s">
        <v>129</v>
      </c>
      <c r="L94" t="s">
        <v>35</v>
      </c>
    </row>
    <row r="95" spans="1:12" x14ac:dyDescent="0.25">
      <c r="A95">
        <v>1093</v>
      </c>
      <c r="B95" t="s">
        <v>168</v>
      </c>
      <c r="C95" t="s">
        <v>42</v>
      </c>
      <c r="E95" t="s">
        <v>82</v>
      </c>
      <c r="F95" t="s">
        <v>60</v>
      </c>
      <c r="G95">
        <v>5</v>
      </c>
      <c r="H95">
        <v>4.99</v>
      </c>
      <c r="J95" t="s">
        <v>57</v>
      </c>
      <c r="K95" t="s">
        <v>129</v>
      </c>
      <c r="L95" t="s">
        <v>21</v>
      </c>
    </row>
    <row r="96" spans="1:12" x14ac:dyDescent="0.25">
      <c r="A96">
        <v>1094</v>
      </c>
      <c r="C96" t="s">
        <v>37</v>
      </c>
      <c r="D96" t="s">
        <v>169</v>
      </c>
      <c r="E96" t="s">
        <v>85</v>
      </c>
      <c r="F96" t="s">
        <v>26</v>
      </c>
      <c r="G96">
        <v>1</v>
      </c>
      <c r="H96" t="s">
        <v>86</v>
      </c>
      <c r="J96" t="s">
        <v>54</v>
      </c>
      <c r="K96" t="s">
        <v>20</v>
      </c>
      <c r="L96" t="s">
        <v>29</v>
      </c>
    </row>
    <row r="97" spans="1:12" x14ac:dyDescent="0.25">
      <c r="A97">
        <v>1095</v>
      </c>
      <c r="C97" t="s">
        <v>70</v>
      </c>
      <c r="D97" t="s">
        <v>71</v>
      </c>
      <c r="E97" t="s">
        <v>31</v>
      </c>
      <c r="F97" t="s">
        <v>32</v>
      </c>
      <c r="G97">
        <v>2</v>
      </c>
      <c r="H97" t="s">
        <v>125</v>
      </c>
      <c r="J97" t="s">
        <v>62</v>
      </c>
      <c r="K97" t="s">
        <v>68</v>
      </c>
      <c r="L97" t="s">
        <v>29</v>
      </c>
    </row>
    <row r="98" spans="1:12" x14ac:dyDescent="0.25">
      <c r="A98">
        <v>1096</v>
      </c>
      <c r="B98" t="s">
        <v>170</v>
      </c>
      <c r="C98" t="s">
        <v>42</v>
      </c>
      <c r="D98" t="s">
        <v>43</v>
      </c>
      <c r="E98" t="s">
        <v>127</v>
      </c>
      <c r="F98" t="s">
        <v>73</v>
      </c>
      <c r="H98">
        <v>29.99</v>
      </c>
      <c r="J98" t="s">
        <v>27</v>
      </c>
      <c r="K98" t="s">
        <v>55</v>
      </c>
      <c r="L98" t="s">
        <v>21</v>
      </c>
    </row>
    <row r="99" spans="1:12" x14ac:dyDescent="0.25">
      <c r="A99">
        <v>1097</v>
      </c>
      <c r="B99" t="s">
        <v>171</v>
      </c>
      <c r="C99" t="s">
        <v>77</v>
      </c>
      <c r="D99" t="s">
        <v>91</v>
      </c>
      <c r="E99" t="s">
        <v>39</v>
      </c>
      <c r="F99" t="s">
        <v>17</v>
      </c>
      <c r="G99">
        <v>4</v>
      </c>
      <c r="H99">
        <v>39.99</v>
      </c>
      <c r="J99" t="s">
        <v>57</v>
      </c>
      <c r="K99" t="s">
        <v>68</v>
      </c>
      <c r="L99" t="s">
        <v>29</v>
      </c>
    </row>
    <row r="100" spans="1:12" x14ac:dyDescent="0.25">
      <c r="A100">
        <v>1098</v>
      </c>
      <c r="B100" t="s">
        <v>172</v>
      </c>
      <c r="C100" t="s">
        <v>23</v>
      </c>
      <c r="D100" t="s">
        <v>81</v>
      </c>
      <c r="E100" t="s">
        <v>72</v>
      </c>
      <c r="F100" t="s">
        <v>73</v>
      </c>
      <c r="H100">
        <v>49.99</v>
      </c>
      <c r="J100" t="s">
        <v>27</v>
      </c>
      <c r="K100" t="s">
        <v>129</v>
      </c>
      <c r="L100" t="s">
        <v>40</v>
      </c>
    </row>
    <row r="101" spans="1:12" x14ac:dyDescent="0.25">
      <c r="A101">
        <v>1099</v>
      </c>
      <c r="B101" t="s">
        <v>173</v>
      </c>
      <c r="C101" t="s">
        <v>65</v>
      </c>
      <c r="D101" t="s">
        <v>123</v>
      </c>
      <c r="E101" t="s">
        <v>82</v>
      </c>
      <c r="F101" t="s">
        <v>60</v>
      </c>
      <c r="H101">
        <v>4.99</v>
      </c>
      <c r="J101" t="s">
        <v>54</v>
      </c>
      <c r="K101" t="s">
        <v>20</v>
      </c>
      <c r="L101" t="s">
        <v>46</v>
      </c>
    </row>
    <row r="102" spans="1:12" x14ac:dyDescent="0.25">
      <c r="A102">
        <v>1100</v>
      </c>
      <c r="B102" t="s">
        <v>174</v>
      </c>
      <c r="C102" t="s">
        <v>14</v>
      </c>
      <c r="D102" t="s">
        <v>84</v>
      </c>
      <c r="E102" t="s">
        <v>39</v>
      </c>
      <c r="F102" t="s">
        <v>17</v>
      </c>
      <c r="G102">
        <v>5</v>
      </c>
      <c r="H102">
        <v>39.99</v>
      </c>
      <c r="J102" t="s">
        <v>33</v>
      </c>
      <c r="K102" t="s">
        <v>55</v>
      </c>
      <c r="L102" t="s">
        <v>35</v>
      </c>
    </row>
    <row r="103" spans="1:12" x14ac:dyDescent="0.25">
      <c r="A103">
        <v>1101</v>
      </c>
      <c r="B103" t="s">
        <v>175</v>
      </c>
      <c r="C103" t="s">
        <v>65</v>
      </c>
      <c r="D103" t="s">
        <v>126</v>
      </c>
      <c r="E103" t="s">
        <v>95</v>
      </c>
      <c r="F103" t="s">
        <v>73</v>
      </c>
      <c r="G103">
        <v>3</v>
      </c>
      <c r="H103">
        <v>29.99</v>
      </c>
      <c r="J103" t="s">
        <v>27</v>
      </c>
      <c r="K103" t="s">
        <v>50</v>
      </c>
      <c r="L103" t="s">
        <v>46</v>
      </c>
    </row>
    <row r="104" spans="1:12" x14ac:dyDescent="0.25">
      <c r="A104">
        <v>1102</v>
      </c>
      <c r="C104" t="s">
        <v>42</v>
      </c>
      <c r="D104" t="s">
        <v>116</v>
      </c>
      <c r="E104" t="s">
        <v>39</v>
      </c>
      <c r="F104" t="s">
        <v>17</v>
      </c>
      <c r="H104">
        <v>39.99</v>
      </c>
      <c r="J104" t="s">
        <v>27</v>
      </c>
      <c r="K104" t="s">
        <v>68</v>
      </c>
      <c r="L104" t="s">
        <v>21</v>
      </c>
    </row>
    <row r="105" spans="1:12" x14ac:dyDescent="0.25">
      <c r="A105">
        <v>1103</v>
      </c>
      <c r="C105" t="s">
        <v>14</v>
      </c>
      <c r="D105" t="s">
        <v>75</v>
      </c>
      <c r="E105" t="s">
        <v>82</v>
      </c>
      <c r="F105" t="s">
        <v>60</v>
      </c>
      <c r="H105">
        <v>4.99</v>
      </c>
      <c r="J105" t="s">
        <v>62</v>
      </c>
      <c r="K105" t="s">
        <v>20</v>
      </c>
      <c r="L105" t="s">
        <v>29</v>
      </c>
    </row>
    <row r="106" spans="1:12" x14ac:dyDescent="0.25">
      <c r="A106">
        <v>1104</v>
      </c>
      <c r="B106" t="s">
        <v>176</v>
      </c>
      <c r="C106" t="s">
        <v>37</v>
      </c>
      <c r="D106" t="s">
        <v>169</v>
      </c>
      <c r="E106" t="s">
        <v>49</v>
      </c>
      <c r="F106" t="s">
        <v>26</v>
      </c>
      <c r="G106">
        <v>5</v>
      </c>
      <c r="H106">
        <v>14.99</v>
      </c>
      <c r="J106" t="s">
        <v>33</v>
      </c>
      <c r="K106" t="s">
        <v>28</v>
      </c>
      <c r="L106" t="s">
        <v>29</v>
      </c>
    </row>
    <row r="107" spans="1:12" x14ac:dyDescent="0.25">
      <c r="A107">
        <v>1105</v>
      </c>
      <c r="B107" t="s">
        <v>177</v>
      </c>
      <c r="C107" t="s">
        <v>65</v>
      </c>
      <c r="D107" t="s">
        <v>123</v>
      </c>
      <c r="E107" t="s">
        <v>44</v>
      </c>
      <c r="F107" t="s">
        <v>17</v>
      </c>
      <c r="G107">
        <v>-1</v>
      </c>
      <c r="H107">
        <v>15.99</v>
      </c>
      <c r="J107" t="s">
        <v>33</v>
      </c>
      <c r="K107" t="s">
        <v>50</v>
      </c>
      <c r="L107" t="s">
        <v>29</v>
      </c>
    </row>
    <row r="108" spans="1:12" x14ac:dyDescent="0.25">
      <c r="A108">
        <v>1106</v>
      </c>
      <c r="B108" t="s">
        <v>178</v>
      </c>
      <c r="C108" t="s">
        <v>65</v>
      </c>
      <c r="D108" t="s">
        <v>126</v>
      </c>
      <c r="E108" t="s">
        <v>127</v>
      </c>
      <c r="F108" t="s">
        <v>73</v>
      </c>
      <c r="G108">
        <v>5</v>
      </c>
      <c r="H108" t="s">
        <v>137</v>
      </c>
      <c r="J108" t="s">
        <v>27</v>
      </c>
      <c r="K108" t="s">
        <v>50</v>
      </c>
      <c r="L108" t="s">
        <v>40</v>
      </c>
    </row>
    <row r="109" spans="1:12" x14ac:dyDescent="0.25">
      <c r="A109">
        <v>1107</v>
      </c>
      <c r="D109" t="s">
        <v>88</v>
      </c>
      <c r="E109" t="s">
        <v>82</v>
      </c>
      <c r="F109" t="s">
        <v>60</v>
      </c>
      <c r="G109">
        <v>-1</v>
      </c>
      <c r="H109">
        <v>4.99</v>
      </c>
      <c r="J109" t="s">
        <v>62</v>
      </c>
      <c r="K109" t="s">
        <v>129</v>
      </c>
      <c r="L109" t="s">
        <v>40</v>
      </c>
    </row>
    <row r="110" spans="1:12" x14ac:dyDescent="0.25">
      <c r="A110">
        <v>1108</v>
      </c>
      <c r="C110" t="s">
        <v>14</v>
      </c>
      <c r="D110" t="s">
        <v>15</v>
      </c>
      <c r="E110" t="s">
        <v>44</v>
      </c>
      <c r="F110" t="s">
        <v>17</v>
      </c>
      <c r="G110">
        <v>5</v>
      </c>
      <c r="H110" t="s">
        <v>18</v>
      </c>
      <c r="J110" t="s">
        <v>54</v>
      </c>
      <c r="K110" t="s">
        <v>68</v>
      </c>
      <c r="L110" t="s">
        <v>40</v>
      </c>
    </row>
    <row r="111" spans="1:12" x14ac:dyDescent="0.25">
      <c r="A111">
        <v>1109</v>
      </c>
      <c r="B111" t="s">
        <v>179</v>
      </c>
      <c r="C111" t="s">
        <v>70</v>
      </c>
      <c r="D111" t="s">
        <v>88</v>
      </c>
      <c r="E111" t="s">
        <v>107</v>
      </c>
      <c r="F111" t="s">
        <v>73</v>
      </c>
      <c r="G111">
        <v>-1</v>
      </c>
      <c r="H111">
        <v>49.99</v>
      </c>
      <c r="J111" t="s">
        <v>27</v>
      </c>
      <c r="K111" t="s">
        <v>68</v>
      </c>
      <c r="L111" t="s">
        <v>40</v>
      </c>
    </row>
    <row r="112" spans="1:12" x14ac:dyDescent="0.25">
      <c r="A112">
        <v>1110</v>
      </c>
      <c r="B112" t="s">
        <v>180</v>
      </c>
      <c r="C112" t="s">
        <v>14</v>
      </c>
      <c r="D112" t="s">
        <v>84</v>
      </c>
      <c r="E112" t="s">
        <v>92</v>
      </c>
      <c r="F112" t="s">
        <v>26</v>
      </c>
      <c r="G112">
        <v>2</v>
      </c>
      <c r="H112">
        <v>14.99</v>
      </c>
      <c r="J112" t="s">
        <v>57</v>
      </c>
      <c r="K112" t="s">
        <v>34</v>
      </c>
      <c r="L112" t="s">
        <v>46</v>
      </c>
    </row>
    <row r="113" spans="1:13" x14ac:dyDescent="0.25">
      <c r="A113">
        <v>1111</v>
      </c>
      <c r="C113" t="s">
        <v>14</v>
      </c>
      <c r="D113" t="s">
        <v>75</v>
      </c>
      <c r="E113" t="s">
        <v>92</v>
      </c>
      <c r="F113" t="s">
        <v>26</v>
      </c>
      <c r="G113">
        <v>1</v>
      </c>
      <c r="H113">
        <v>14.99</v>
      </c>
      <c r="J113" t="s">
        <v>62</v>
      </c>
      <c r="K113" t="s">
        <v>34</v>
      </c>
      <c r="L113" t="s">
        <v>46</v>
      </c>
    </row>
    <row r="114" spans="1:13" x14ac:dyDescent="0.25">
      <c r="A114">
        <v>1112</v>
      </c>
      <c r="B114" t="s">
        <v>181</v>
      </c>
      <c r="C114" t="s">
        <v>77</v>
      </c>
      <c r="D114" t="s">
        <v>78</v>
      </c>
      <c r="E114" t="s">
        <v>52</v>
      </c>
      <c r="F114" t="s">
        <v>53</v>
      </c>
      <c r="H114" t="s">
        <v>97</v>
      </c>
      <c r="J114" t="s">
        <v>33</v>
      </c>
      <c r="K114" t="s">
        <v>55</v>
      </c>
      <c r="L114" t="s">
        <v>21</v>
      </c>
    </row>
    <row r="115" spans="1:13" x14ac:dyDescent="0.25">
      <c r="A115">
        <v>1113</v>
      </c>
      <c r="B115" t="s">
        <v>182</v>
      </c>
      <c r="E115" t="s">
        <v>67</v>
      </c>
      <c r="F115" t="s">
        <v>32</v>
      </c>
      <c r="G115">
        <v>1</v>
      </c>
      <c r="H115">
        <v>79.989999999999995</v>
      </c>
      <c r="J115" t="s">
        <v>57</v>
      </c>
      <c r="K115" t="s">
        <v>20</v>
      </c>
      <c r="L115" t="s">
        <v>35</v>
      </c>
    </row>
    <row r="116" spans="1:13" x14ac:dyDescent="0.25">
      <c r="A116">
        <v>1114</v>
      </c>
      <c r="B116" t="s">
        <v>183</v>
      </c>
      <c r="C116" t="s">
        <v>14</v>
      </c>
      <c r="D116" t="s">
        <v>75</v>
      </c>
      <c r="E116" t="s">
        <v>49</v>
      </c>
      <c r="F116" t="s">
        <v>26</v>
      </c>
      <c r="G116">
        <v>-1</v>
      </c>
      <c r="H116">
        <v>14.99</v>
      </c>
      <c r="J116" t="s">
        <v>62</v>
      </c>
      <c r="K116" t="s">
        <v>68</v>
      </c>
      <c r="L116" t="s">
        <v>21</v>
      </c>
    </row>
    <row r="117" spans="1:13" x14ac:dyDescent="0.25">
      <c r="B117" t="s">
        <v>184</v>
      </c>
      <c r="C117" t="s">
        <v>23</v>
      </c>
      <c r="D117" t="s">
        <v>24</v>
      </c>
      <c r="E117" t="s">
        <v>44</v>
      </c>
      <c r="F117" t="s">
        <v>17</v>
      </c>
      <c r="G117">
        <v>-1</v>
      </c>
      <c r="H117" t="s">
        <v>18</v>
      </c>
      <c r="J117" t="s">
        <v>57</v>
      </c>
      <c r="K117" t="s">
        <v>20</v>
      </c>
      <c r="L117" t="s">
        <v>35</v>
      </c>
    </row>
    <row r="118" spans="1:13" x14ac:dyDescent="0.25">
      <c r="A118">
        <v>1116</v>
      </c>
      <c r="C118" t="s">
        <v>70</v>
      </c>
      <c r="D118" t="s">
        <v>88</v>
      </c>
      <c r="E118" t="s">
        <v>127</v>
      </c>
      <c r="F118" t="s">
        <v>73</v>
      </c>
      <c r="G118">
        <v>1</v>
      </c>
      <c r="H118">
        <v>29.99</v>
      </c>
      <c r="J118" t="s">
        <v>54</v>
      </c>
      <c r="K118" t="s">
        <v>129</v>
      </c>
      <c r="L118" t="s">
        <v>29</v>
      </c>
    </row>
    <row r="119" spans="1:13" x14ac:dyDescent="0.25">
      <c r="A119">
        <v>1117</v>
      </c>
      <c r="B119" t="s">
        <v>185</v>
      </c>
      <c r="C119" t="s">
        <v>42</v>
      </c>
      <c r="D119" t="s">
        <v>116</v>
      </c>
      <c r="E119" t="s">
        <v>52</v>
      </c>
      <c r="F119" t="s">
        <v>53</v>
      </c>
      <c r="G119">
        <v>-1</v>
      </c>
      <c r="H119">
        <v>59.99</v>
      </c>
      <c r="J119" t="s">
        <v>33</v>
      </c>
      <c r="K119" t="s">
        <v>34</v>
      </c>
      <c r="L119" t="s">
        <v>46</v>
      </c>
    </row>
    <row r="120" spans="1:13" x14ac:dyDescent="0.25">
      <c r="A120">
        <v>1118</v>
      </c>
      <c r="B120" t="s">
        <v>186</v>
      </c>
      <c r="C120" t="s">
        <v>14</v>
      </c>
      <c r="D120" t="s">
        <v>75</v>
      </c>
      <c r="E120" t="s">
        <v>31</v>
      </c>
      <c r="F120" t="s">
        <v>32</v>
      </c>
      <c r="G120">
        <v>1</v>
      </c>
      <c r="H120" t="s">
        <v>125</v>
      </c>
      <c r="J120" t="s">
        <v>62</v>
      </c>
      <c r="K120" t="s">
        <v>45</v>
      </c>
      <c r="L120" t="s">
        <v>40</v>
      </c>
    </row>
    <row r="121" spans="1:13" x14ac:dyDescent="0.25">
      <c r="A121">
        <v>1119</v>
      </c>
      <c r="B121" t="s">
        <v>187</v>
      </c>
      <c r="C121" t="s">
        <v>14</v>
      </c>
      <c r="D121" t="s">
        <v>84</v>
      </c>
      <c r="E121" t="s">
        <v>107</v>
      </c>
      <c r="F121" t="s">
        <v>73</v>
      </c>
      <c r="G121">
        <v>3</v>
      </c>
      <c r="H121">
        <v>49.99</v>
      </c>
      <c r="J121" t="s">
        <v>54</v>
      </c>
      <c r="K121" t="s">
        <v>34</v>
      </c>
      <c r="L121" t="s">
        <v>21</v>
      </c>
    </row>
    <row r="122" spans="1:13" x14ac:dyDescent="0.25">
      <c r="A122">
        <v>1120</v>
      </c>
      <c r="B122" t="s">
        <v>188</v>
      </c>
      <c r="C122" t="s">
        <v>14</v>
      </c>
      <c r="E122" t="s">
        <v>85</v>
      </c>
      <c r="F122" t="s">
        <v>26</v>
      </c>
      <c r="G122">
        <v>5</v>
      </c>
      <c r="H122">
        <v>99.99</v>
      </c>
      <c r="J122" t="s">
        <v>62</v>
      </c>
      <c r="K122" t="s">
        <v>28</v>
      </c>
      <c r="L122" t="s">
        <v>35</v>
      </c>
    </row>
    <row r="123" spans="1:13" x14ac:dyDescent="0.25">
      <c r="A123">
        <v>1121</v>
      </c>
      <c r="B123" t="s">
        <v>189</v>
      </c>
      <c r="C123" t="s">
        <v>65</v>
      </c>
      <c r="D123" t="s">
        <v>66</v>
      </c>
      <c r="E123" t="s">
        <v>85</v>
      </c>
      <c r="F123" t="s">
        <v>26</v>
      </c>
      <c r="G123">
        <v>2</v>
      </c>
      <c r="H123" t="s">
        <v>86</v>
      </c>
      <c r="J123" t="s">
        <v>62</v>
      </c>
      <c r="K123" t="s">
        <v>28</v>
      </c>
      <c r="L123" t="s">
        <v>29</v>
      </c>
    </row>
    <row r="124" spans="1:13" x14ac:dyDescent="0.25">
      <c r="A124">
        <v>1122</v>
      </c>
      <c r="C124" t="s">
        <v>37</v>
      </c>
      <c r="D124" t="s">
        <v>169</v>
      </c>
      <c r="E124" t="s">
        <v>59</v>
      </c>
      <c r="F124" t="s">
        <v>60</v>
      </c>
      <c r="G124">
        <v>-1</v>
      </c>
      <c r="H124" t="s">
        <v>61</v>
      </c>
      <c r="J124" t="s">
        <v>57</v>
      </c>
      <c r="K124" t="s">
        <v>68</v>
      </c>
      <c r="L124" t="s">
        <v>40</v>
      </c>
    </row>
    <row r="125" spans="1:13" x14ac:dyDescent="0.25">
      <c r="A125">
        <v>1123</v>
      </c>
      <c r="B125" t="s">
        <v>190</v>
      </c>
      <c r="C125" t="s">
        <v>65</v>
      </c>
      <c r="D125" t="s">
        <v>126</v>
      </c>
      <c r="E125" t="s">
        <v>82</v>
      </c>
      <c r="F125" t="s">
        <v>60</v>
      </c>
      <c r="G125">
        <v>1</v>
      </c>
      <c r="H125" t="s">
        <v>61</v>
      </c>
      <c r="J125" t="s">
        <v>62</v>
      </c>
      <c r="K125" t="s">
        <v>20</v>
      </c>
      <c r="L125" t="s">
        <v>46</v>
      </c>
    </row>
    <row r="126" spans="1:13" x14ac:dyDescent="0.25">
      <c r="A126">
        <v>1124</v>
      </c>
      <c r="B126" t="s">
        <v>191</v>
      </c>
      <c r="C126" t="s">
        <v>23</v>
      </c>
      <c r="D126" t="s">
        <v>124</v>
      </c>
      <c r="E126" t="s">
        <v>82</v>
      </c>
      <c r="F126" t="s">
        <v>60</v>
      </c>
      <c r="G126">
        <v>2</v>
      </c>
      <c r="H126" t="s">
        <v>61</v>
      </c>
      <c r="J126" t="s">
        <v>33</v>
      </c>
      <c r="K126" t="s">
        <v>28</v>
      </c>
      <c r="L126" t="s">
        <v>46</v>
      </c>
    </row>
    <row r="127" spans="1:13" x14ac:dyDescent="0.25">
      <c r="A127">
        <v>1125</v>
      </c>
      <c r="B127" t="s">
        <v>192</v>
      </c>
      <c r="C127" t="s">
        <v>65</v>
      </c>
      <c r="D127" t="s">
        <v>123</v>
      </c>
      <c r="E127" t="s">
        <v>31</v>
      </c>
      <c r="F127" t="s">
        <v>32</v>
      </c>
      <c r="G127">
        <v>5</v>
      </c>
      <c r="H127">
        <v>79.989999999999995</v>
      </c>
      <c r="J127" t="s">
        <v>33</v>
      </c>
      <c r="K127" t="s">
        <v>28</v>
      </c>
      <c r="L127" t="s">
        <v>21</v>
      </c>
      <c r="M127" t="s">
        <v>63</v>
      </c>
    </row>
    <row r="128" spans="1:13" x14ac:dyDescent="0.25">
      <c r="A128">
        <v>1126</v>
      </c>
      <c r="C128" t="s">
        <v>14</v>
      </c>
      <c r="D128" t="s">
        <v>15</v>
      </c>
      <c r="E128" t="s">
        <v>85</v>
      </c>
      <c r="F128" t="s">
        <v>26</v>
      </c>
      <c r="G128">
        <v>2</v>
      </c>
      <c r="H128">
        <v>99.99</v>
      </c>
      <c r="J128" t="s">
        <v>27</v>
      </c>
      <c r="K128" t="s">
        <v>50</v>
      </c>
      <c r="L128" t="s">
        <v>46</v>
      </c>
    </row>
    <row r="129" spans="1:13" x14ac:dyDescent="0.25">
      <c r="A129">
        <v>1127</v>
      </c>
      <c r="C129" t="s">
        <v>14</v>
      </c>
      <c r="D129" t="s">
        <v>15</v>
      </c>
      <c r="E129" t="s">
        <v>52</v>
      </c>
      <c r="F129" t="s">
        <v>53</v>
      </c>
      <c r="G129">
        <v>3</v>
      </c>
      <c r="H129">
        <v>59.99</v>
      </c>
      <c r="J129" t="s">
        <v>57</v>
      </c>
      <c r="K129" t="s">
        <v>50</v>
      </c>
      <c r="L129" t="s">
        <v>21</v>
      </c>
    </row>
    <row r="130" spans="1:13" x14ac:dyDescent="0.25">
      <c r="A130">
        <v>1128</v>
      </c>
      <c r="B130" t="s">
        <v>193</v>
      </c>
      <c r="C130" t="s">
        <v>23</v>
      </c>
      <c r="D130" t="s">
        <v>124</v>
      </c>
      <c r="E130" t="s">
        <v>39</v>
      </c>
      <c r="F130" t="s">
        <v>17</v>
      </c>
      <c r="H130">
        <v>39.99</v>
      </c>
      <c r="J130" t="s">
        <v>19</v>
      </c>
      <c r="K130" t="s">
        <v>45</v>
      </c>
      <c r="L130" t="s">
        <v>46</v>
      </c>
    </row>
    <row r="131" spans="1:13" x14ac:dyDescent="0.25">
      <c r="A131">
        <v>1129</v>
      </c>
      <c r="B131" t="s">
        <v>194</v>
      </c>
      <c r="C131" t="s">
        <v>42</v>
      </c>
      <c r="D131" t="s">
        <v>116</v>
      </c>
      <c r="E131" t="s">
        <v>67</v>
      </c>
      <c r="F131" t="s">
        <v>32</v>
      </c>
      <c r="G131">
        <v>4</v>
      </c>
      <c r="H131">
        <v>79.989999999999995</v>
      </c>
      <c r="J131" t="s">
        <v>19</v>
      </c>
      <c r="K131" t="s">
        <v>129</v>
      </c>
      <c r="L131" t="s">
        <v>21</v>
      </c>
    </row>
    <row r="132" spans="1:13" x14ac:dyDescent="0.25">
      <c r="A132">
        <v>1130</v>
      </c>
      <c r="B132" t="s">
        <v>195</v>
      </c>
      <c r="C132" t="s">
        <v>37</v>
      </c>
      <c r="E132" t="s">
        <v>92</v>
      </c>
      <c r="F132" t="s">
        <v>26</v>
      </c>
      <c r="H132">
        <v>14.99</v>
      </c>
      <c r="J132" t="s">
        <v>62</v>
      </c>
      <c r="K132" t="s">
        <v>129</v>
      </c>
      <c r="L132" t="s">
        <v>46</v>
      </c>
    </row>
    <row r="133" spans="1:13" x14ac:dyDescent="0.25">
      <c r="A133">
        <v>1131</v>
      </c>
      <c r="B133" t="s">
        <v>196</v>
      </c>
      <c r="C133" t="s">
        <v>65</v>
      </c>
      <c r="D133" t="s">
        <v>126</v>
      </c>
      <c r="E133" t="s">
        <v>49</v>
      </c>
      <c r="F133" t="s">
        <v>26</v>
      </c>
      <c r="G133">
        <v>3</v>
      </c>
      <c r="H133" t="s">
        <v>56</v>
      </c>
      <c r="J133" t="s">
        <v>57</v>
      </c>
      <c r="K133" t="s">
        <v>68</v>
      </c>
      <c r="L133" t="s">
        <v>40</v>
      </c>
    </row>
    <row r="134" spans="1:13" x14ac:dyDescent="0.25">
      <c r="A134">
        <v>1132</v>
      </c>
      <c r="B134" t="s">
        <v>197</v>
      </c>
      <c r="C134" t="s">
        <v>77</v>
      </c>
      <c r="D134" t="s">
        <v>114</v>
      </c>
      <c r="E134" t="s">
        <v>52</v>
      </c>
      <c r="F134" t="s">
        <v>53</v>
      </c>
      <c r="G134">
        <v>2</v>
      </c>
      <c r="H134">
        <v>59.99</v>
      </c>
      <c r="J134" t="s">
        <v>27</v>
      </c>
      <c r="K134" t="s">
        <v>68</v>
      </c>
      <c r="L134" t="s">
        <v>29</v>
      </c>
    </row>
    <row r="135" spans="1:13" x14ac:dyDescent="0.25">
      <c r="A135">
        <v>1133</v>
      </c>
      <c r="D135" t="s">
        <v>43</v>
      </c>
      <c r="E135" t="s">
        <v>52</v>
      </c>
      <c r="F135" t="s">
        <v>53</v>
      </c>
      <c r="H135">
        <v>59.99</v>
      </c>
      <c r="J135" t="s">
        <v>19</v>
      </c>
      <c r="K135" t="s">
        <v>68</v>
      </c>
      <c r="L135" t="s">
        <v>21</v>
      </c>
    </row>
    <row r="136" spans="1:13" x14ac:dyDescent="0.25">
      <c r="A136">
        <v>1134</v>
      </c>
      <c r="C136" t="s">
        <v>42</v>
      </c>
      <c r="D136" t="s">
        <v>48</v>
      </c>
      <c r="E136" t="s">
        <v>92</v>
      </c>
      <c r="F136" t="s">
        <v>26</v>
      </c>
      <c r="G136">
        <v>1</v>
      </c>
      <c r="H136">
        <v>14.99</v>
      </c>
      <c r="J136" t="s">
        <v>27</v>
      </c>
      <c r="K136" t="s">
        <v>45</v>
      </c>
      <c r="L136" t="s">
        <v>46</v>
      </c>
      <c r="M136" t="s">
        <v>63</v>
      </c>
    </row>
    <row r="137" spans="1:13" x14ac:dyDescent="0.25">
      <c r="A137">
        <v>1135</v>
      </c>
      <c r="B137" t="s">
        <v>198</v>
      </c>
      <c r="C137" t="s">
        <v>42</v>
      </c>
      <c r="D137" t="s">
        <v>43</v>
      </c>
      <c r="E137" t="s">
        <v>25</v>
      </c>
      <c r="F137" t="s">
        <v>26</v>
      </c>
      <c r="G137">
        <v>5</v>
      </c>
      <c r="H137">
        <v>99.99</v>
      </c>
      <c r="J137" t="s">
        <v>57</v>
      </c>
      <c r="K137" t="s">
        <v>20</v>
      </c>
      <c r="L137" t="s">
        <v>21</v>
      </c>
    </row>
    <row r="138" spans="1:13" x14ac:dyDescent="0.25">
      <c r="A138">
        <v>1136</v>
      </c>
      <c r="C138" t="s">
        <v>65</v>
      </c>
      <c r="D138" t="s">
        <v>66</v>
      </c>
      <c r="E138" t="s">
        <v>85</v>
      </c>
      <c r="F138" t="s">
        <v>26</v>
      </c>
      <c r="G138">
        <v>2</v>
      </c>
      <c r="H138">
        <v>99.99</v>
      </c>
      <c r="J138" t="s">
        <v>27</v>
      </c>
      <c r="K138" t="s">
        <v>55</v>
      </c>
      <c r="L138" t="s">
        <v>35</v>
      </c>
    </row>
    <row r="139" spans="1:13" x14ac:dyDescent="0.25">
      <c r="A139">
        <v>1137</v>
      </c>
      <c r="C139" t="s">
        <v>14</v>
      </c>
      <c r="D139" t="s">
        <v>84</v>
      </c>
      <c r="E139" t="s">
        <v>31</v>
      </c>
      <c r="F139" t="s">
        <v>32</v>
      </c>
      <c r="G139">
        <v>5</v>
      </c>
      <c r="H139">
        <v>79.989999999999995</v>
      </c>
      <c r="J139" t="s">
        <v>27</v>
      </c>
      <c r="K139" t="s">
        <v>55</v>
      </c>
      <c r="L139" t="s">
        <v>46</v>
      </c>
    </row>
    <row r="140" spans="1:13" x14ac:dyDescent="0.25">
      <c r="A140">
        <v>1138</v>
      </c>
      <c r="C140" t="s">
        <v>77</v>
      </c>
      <c r="D140" t="s">
        <v>78</v>
      </c>
      <c r="E140" t="s">
        <v>25</v>
      </c>
      <c r="F140" t="s">
        <v>26</v>
      </c>
      <c r="G140">
        <v>3</v>
      </c>
      <c r="H140" t="s">
        <v>86</v>
      </c>
      <c r="J140" t="s">
        <v>57</v>
      </c>
      <c r="K140" t="s">
        <v>129</v>
      </c>
      <c r="L140" t="s">
        <v>21</v>
      </c>
    </row>
    <row r="141" spans="1:13" x14ac:dyDescent="0.25">
      <c r="A141">
        <v>1139</v>
      </c>
      <c r="C141" t="s">
        <v>14</v>
      </c>
      <c r="D141" t="s">
        <v>75</v>
      </c>
      <c r="E141" t="s">
        <v>52</v>
      </c>
      <c r="F141" t="s">
        <v>53</v>
      </c>
      <c r="G141">
        <v>5</v>
      </c>
      <c r="H141">
        <v>59.99</v>
      </c>
      <c r="J141" t="s">
        <v>19</v>
      </c>
      <c r="K141" t="s">
        <v>34</v>
      </c>
      <c r="L141" t="s">
        <v>40</v>
      </c>
    </row>
    <row r="142" spans="1:13" x14ac:dyDescent="0.25">
      <c r="A142">
        <v>1140</v>
      </c>
      <c r="C142" t="s">
        <v>77</v>
      </c>
      <c r="D142" t="s">
        <v>114</v>
      </c>
      <c r="E142" t="s">
        <v>59</v>
      </c>
      <c r="F142" t="s">
        <v>60</v>
      </c>
      <c r="G142">
        <v>-1</v>
      </c>
      <c r="H142" t="s">
        <v>61</v>
      </c>
      <c r="J142" t="s">
        <v>27</v>
      </c>
      <c r="K142" t="s">
        <v>20</v>
      </c>
      <c r="L142" t="s">
        <v>35</v>
      </c>
    </row>
    <row r="143" spans="1:13" x14ac:dyDescent="0.25">
      <c r="A143">
        <v>1141</v>
      </c>
      <c r="B143" t="s">
        <v>136</v>
      </c>
      <c r="C143" t="s">
        <v>42</v>
      </c>
      <c r="D143" t="s">
        <v>48</v>
      </c>
      <c r="E143" t="s">
        <v>127</v>
      </c>
      <c r="F143" t="s">
        <v>73</v>
      </c>
      <c r="G143">
        <v>1</v>
      </c>
      <c r="H143" t="s">
        <v>137</v>
      </c>
      <c r="J143" t="s">
        <v>19</v>
      </c>
      <c r="K143" t="s">
        <v>50</v>
      </c>
      <c r="L143" t="s">
        <v>29</v>
      </c>
    </row>
    <row r="144" spans="1:13" x14ac:dyDescent="0.25">
      <c r="A144">
        <v>1142</v>
      </c>
      <c r="B144" t="s">
        <v>199</v>
      </c>
      <c r="C144" t="s">
        <v>14</v>
      </c>
      <c r="D144" t="s">
        <v>15</v>
      </c>
      <c r="E144" t="s">
        <v>82</v>
      </c>
      <c r="F144" t="s">
        <v>60</v>
      </c>
      <c r="G144">
        <v>2</v>
      </c>
      <c r="H144">
        <v>4.99</v>
      </c>
      <c r="J144" t="s">
        <v>54</v>
      </c>
      <c r="K144" t="s">
        <v>45</v>
      </c>
      <c r="L144" t="s">
        <v>46</v>
      </c>
    </row>
    <row r="145" spans="1:13" x14ac:dyDescent="0.25">
      <c r="A145">
        <v>1143</v>
      </c>
      <c r="B145" t="s">
        <v>200</v>
      </c>
      <c r="C145" t="s">
        <v>70</v>
      </c>
      <c r="D145" t="s">
        <v>88</v>
      </c>
      <c r="E145" t="s">
        <v>85</v>
      </c>
      <c r="F145" t="s">
        <v>26</v>
      </c>
      <c r="H145">
        <v>99.99</v>
      </c>
      <c r="J145" t="s">
        <v>54</v>
      </c>
      <c r="K145" t="s">
        <v>129</v>
      </c>
      <c r="L145" t="s">
        <v>40</v>
      </c>
    </row>
    <row r="146" spans="1:13" x14ac:dyDescent="0.25">
      <c r="A146">
        <v>1144</v>
      </c>
      <c r="B146" t="s">
        <v>201</v>
      </c>
      <c r="C146" t="s">
        <v>23</v>
      </c>
      <c r="D146" t="s">
        <v>81</v>
      </c>
      <c r="E146" t="s">
        <v>25</v>
      </c>
      <c r="F146" t="s">
        <v>26</v>
      </c>
      <c r="H146" t="s">
        <v>86</v>
      </c>
      <c r="J146" t="s">
        <v>27</v>
      </c>
      <c r="K146" t="s">
        <v>45</v>
      </c>
      <c r="L146" t="s">
        <v>40</v>
      </c>
    </row>
    <row r="147" spans="1:13" x14ac:dyDescent="0.25">
      <c r="A147">
        <v>1145</v>
      </c>
      <c r="C147" t="s">
        <v>77</v>
      </c>
      <c r="D147" t="s">
        <v>78</v>
      </c>
      <c r="E147" t="s">
        <v>92</v>
      </c>
      <c r="F147" t="s">
        <v>26</v>
      </c>
      <c r="H147" t="s">
        <v>56</v>
      </c>
      <c r="J147" t="s">
        <v>33</v>
      </c>
      <c r="K147" t="s">
        <v>28</v>
      </c>
      <c r="L147" t="s">
        <v>40</v>
      </c>
    </row>
    <row r="148" spans="1:13" x14ac:dyDescent="0.25">
      <c r="A148">
        <v>1146</v>
      </c>
      <c r="B148" t="s">
        <v>202</v>
      </c>
      <c r="C148" t="s">
        <v>42</v>
      </c>
      <c r="D148" t="s">
        <v>43</v>
      </c>
      <c r="E148" t="s">
        <v>44</v>
      </c>
      <c r="F148" t="s">
        <v>17</v>
      </c>
      <c r="G148">
        <v>3</v>
      </c>
      <c r="H148">
        <v>15.99</v>
      </c>
      <c r="J148" t="s">
        <v>62</v>
      </c>
      <c r="K148" t="s">
        <v>28</v>
      </c>
      <c r="L148" t="s">
        <v>29</v>
      </c>
    </row>
    <row r="149" spans="1:13" x14ac:dyDescent="0.25">
      <c r="B149" t="s">
        <v>203</v>
      </c>
      <c r="C149" t="s">
        <v>42</v>
      </c>
      <c r="D149" t="s">
        <v>116</v>
      </c>
      <c r="E149" t="s">
        <v>31</v>
      </c>
      <c r="F149" t="s">
        <v>32</v>
      </c>
      <c r="G149">
        <v>3</v>
      </c>
      <c r="H149">
        <v>79.989999999999995</v>
      </c>
      <c r="J149" t="s">
        <v>19</v>
      </c>
      <c r="K149" t="s">
        <v>28</v>
      </c>
      <c r="L149" t="s">
        <v>40</v>
      </c>
      <c r="M149" t="s">
        <v>63</v>
      </c>
    </row>
    <row r="150" spans="1:13" x14ac:dyDescent="0.25">
      <c r="A150">
        <v>1148</v>
      </c>
      <c r="B150" t="s">
        <v>204</v>
      </c>
      <c r="C150" t="s">
        <v>70</v>
      </c>
      <c r="D150" t="s">
        <v>131</v>
      </c>
      <c r="E150" t="s">
        <v>92</v>
      </c>
      <c r="F150" t="s">
        <v>26</v>
      </c>
      <c r="H150">
        <v>14.99</v>
      </c>
      <c r="J150" t="s">
        <v>57</v>
      </c>
      <c r="K150" t="s">
        <v>28</v>
      </c>
      <c r="L150" t="s">
        <v>46</v>
      </c>
    </row>
    <row r="151" spans="1:13" x14ac:dyDescent="0.25">
      <c r="A151">
        <v>1149</v>
      </c>
      <c r="B151" t="s">
        <v>205</v>
      </c>
      <c r="C151" t="s">
        <v>23</v>
      </c>
      <c r="D151" t="s">
        <v>124</v>
      </c>
      <c r="E151" t="s">
        <v>85</v>
      </c>
      <c r="F151" t="s">
        <v>26</v>
      </c>
      <c r="G151">
        <v>4</v>
      </c>
      <c r="H151">
        <v>99.99</v>
      </c>
      <c r="J151" t="s">
        <v>33</v>
      </c>
      <c r="K151" t="s">
        <v>20</v>
      </c>
      <c r="L151" t="s">
        <v>46</v>
      </c>
    </row>
    <row r="152" spans="1:13" x14ac:dyDescent="0.25">
      <c r="A152">
        <v>1150</v>
      </c>
      <c r="B152" t="s">
        <v>206</v>
      </c>
      <c r="C152" t="s">
        <v>65</v>
      </c>
      <c r="D152" t="s">
        <v>66</v>
      </c>
      <c r="E152" t="s">
        <v>72</v>
      </c>
      <c r="F152" t="s">
        <v>73</v>
      </c>
      <c r="G152">
        <v>-1</v>
      </c>
      <c r="H152">
        <v>49.99</v>
      </c>
      <c r="J152" t="s">
        <v>19</v>
      </c>
      <c r="K152" t="s">
        <v>28</v>
      </c>
      <c r="L152" t="s">
        <v>40</v>
      </c>
    </row>
    <row r="153" spans="1:13" x14ac:dyDescent="0.25">
      <c r="A153">
        <v>1151</v>
      </c>
      <c r="C153" t="s">
        <v>23</v>
      </c>
      <c r="D153" t="s">
        <v>124</v>
      </c>
      <c r="E153" t="s">
        <v>44</v>
      </c>
      <c r="F153" t="s">
        <v>17</v>
      </c>
      <c r="G153">
        <v>1</v>
      </c>
      <c r="H153">
        <v>15.99</v>
      </c>
      <c r="J153" t="s">
        <v>62</v>
      </c>
      <c r="K153" t="s">
        <v>20</v>
      </c>
      <c r="L153" t="s">
        <v>29</v>
      </c>
    </row>
    <row r="154" spans="1:13" x14ac:dyDescent="0.25">
      <c r="A154">
        <v>1152</v>
      </c>
      <c r="C154" t="s">
        <v>37</v>
      </c>
      <c r="D154" t="s">
        <v>38</v>
      </c>
      <c r="E154" t="s">
        <v>72</v>
      </c>
      <c r="F154" t="s">
        <v>73</v>
      </c>
      <c r="G154">
        <v>1</v>
      </c>
      <c r="H154">
        <v>49.99</v>
      </c>
      <c r="J154" t="s">
        <v>57</v>
      </c>
      <c r="K154" t="s">
        <v>50</v>
      </c>
      <c r="L154" t="s">
        <v>35</v>
      </c>
    </row>
    <row r="155" spans="1:13" x14ac:dyDescent="0.25">
      <c r="A155">
        <v>1153</v>
      </c>
      <c r="C155" t="s">
        <v>70</v>
      </c>
      <c r="D155" t="s">
        <v>71</v>
      </c>
      <c r="E155" t="s">
        <v>127</v>
      </c>
      <c r="F155" t="s">
        <v>73</v>
      </c>
      <c r="G155">
        <v>5</v>
      </c>
      <c r="H155">
        <v>29.99</v>
      </c>
      <c r="J155" t="s">
        <v>54</v>
      </c>
      <c r="K155" t="s">
        <v>55</v>
      </c>
      <c r="L155" t="s">
        <v>46</v>
      </c>
      <c r="M155" t="s">
        <v>63</v>
      </c>
    </row>
    <row r="156" spans="1:13" x14ac:dyDescent="0.25">
      <c r="A156">
        <v>1154</v>
      </c>
      <c r="B156" t="s">
        <v>207</v>
      </c>
      <c r="C156" t="s">
        <v>65</v>
      </c>
      <c r="D156" t="s">
        <v>66</v>
      </c>
      <c r="E156" t="s">
        <v>44</v>
      </c>
      <c r="F156" t="s">
        <v>17</v>
      </c>
      <c r="G156">
        <v>1</v>
      </c>
      <c r="H156">
        <v>15.99</v>
      </c>
      <c r="J156" t="s">
        <v>27</v>
      </c>
      <c r="K156" t="s">
        <v>50</v>
      </c>
      <c r="L156" t="s">
        <v>21</v>
      </c>
    </row>
    <row r="157" spans="1:13" x14ac:dyDescent="0.25">
      <c r="A157">
        <v>1155</v>
      </c>
      <c r="B157" t="s">
        <v>208</v>
      </c>
      <c r="C157" t="s">
        <v>42</v>
      </c>
      <c r="D157" t="s">
        <v>116</v>
      </c>
      <c r="E157" t="s">
        <v>85</v>
      </c>
      <c r="F157" t="s">
        <v>26</v>
      </c>
      <c r="G157">
        <v>2</v>
      </c>
      <c r="H157">
        <v>99.99</v>
      </c>
      <c r="J157" t="s">
        <v>62</v>
      </c>
      <c r="K157" t="s">
        <v>68</v>
      </c>
      <c r="L157" t="s">
        <v>46</v>
      </c>
    </row>
    <row r="158" spans="1:13" x14ac:dyDescent="0.25">
      <c r="A158">
        <v>1156</v>
      </c>
      <c r="C158" t="s">
        <v>70</v>
      </c>
      <c r="D158" t="s">
        <v>131</v>
      </c>
      <c r="E158" t="s">
        <v>127</v>
      </c>
      <c r="F158" t="s">
        <v>73</v>
      </c>
      <c r="G158">
        <v>4</v>
      </c>
      <c r="H158" t="s">
        <v>137</v>
      </c>
      <c r="J158" t="s">
        <v>19</v>
      </c>
      <c r="K158" t="s">
        <v>55</v>
      </c>
      <c r="L158" t="s">
        <v>40</v>
      </c>
    </row>
    <row r="159" spans="1:13" x14ac:dyDescent="0.25">
      <c r="A159">
        <v>1157</v>
      </c>
      <c r="B159" t="s">
        <v>209</v>
      </c>
      <c r="C159" t="s">
        <v>77</v>
      </c>
      <c r="D159" t="s">
        <v>114</v>
      </c>
      <c r="E159" t="s">
        <v>89</v>
      </c>
      <c r="F159" t="s">
        <v>17</v>
      </c>
      <c r="G159">
        <v>-1</v>
      </c>
      <c r="H159">
        <v>39.99</v>
      </c>
      <c r="J159" t="s">
        <v>57</v>
      </c>
      <c r="K159" t="s">
        <v>68</v>
      </c>
      <c r="L159" t="s">
        <v>21</v>
      </c>
    </row>
    <row r="160" spans="1:13" x14ac:dyDescent="0.25">
      <c r="A160">
        <v>1158</v>
      </c>
      <c r="B160" t="s">
        <v>210</v>
      </c>
      <c r="C160" t="s">
        <v>42</v>
      </c>
      <c r="D160" t="s">
        <v>106</v>
      </c>
      <c r="E160" t="s">
        <v>31</v>
      </c>
      <c r="F160" t="s">
        <v>32</v>
      </c>
      <c r="G160">
        <v>2</v>
      </c>
      <c r="H160">
        <v>79.989999999999995</v>
      </c>
      <c r="J160" t="s">
        <v>54</v>
      </c>
      <c r="K160" t="s">
        <v>129</v>
      </c>
      <c r="L160" t="s">
        <v>46</v>
      </c>
    </row>
    <row r="161" spans="1:12" x14ac:dyDescent="0.25">
      <c r="A161">
        <v>1159</v>
      </c>
      <c r="B161" t="s">
        <v>211</v>
      </c>
      <c r="C161" t="s">
        <v>23</v>
      </c>
      <c r="D161" t="s">
        <v>81</v>
      </c>
      <c r="E161" t="s">
        <v>212</v>
      </c>
      <c r="F161" t="s">
        <v>53</v>
      </c>
      <c r="G161">
        <v>1</v>
      </c>
      <c r="H161" t="s">
        <v>97</v>
      </c>
      <c r="J161" t="s">
        <v>62</v>
      </c>
      <c r="K161" t="s">
        <v>45</v>
      </c>
      <c r="L161" t="s">
        <v>40</v>
      </c>
    </row>
    <row r="162" spans="1:12" x14ac:dyDescent="0.25">
      <c r="A162">
        <v>1160</v>
      </c>
      <c r="C162" t="s">
        <v>77</v>
      </c>
      <c r="D162" t="s">
        <v>78</v>
      </c>
      <c r="E162" t="s">
        <v>82</v>
      </c>
      <c r="F162" t="s">
        <v>60</v>
      </c>
      <c r="G162">
        <v>2</v>
      </c>
      <c r="H162">
        <v>4.99</v>
      </c>
      <c r="J162" t="s">
        <v>62</v>
      </c>
      <c r="K162" t="s">
        <v>45</v>
      </c>
      <c r="L162" t="s">
        <v>40</v>
      </c>
    </row>
    <row r="163" spans="1:12" x14ac:dyDescent="0.25">
      <c r="A163">
        <v>1161</v>
      </c>
      <c r="B163" t="s">
        <v>213</v>
      </c>
      <c r="C163" t="s">
        <v>65</v>
      </c>
      <c r="D163" t="s">
        <v>110</v>
      </c>
      <c r="E163" t="s">
        <v>39</v>
      </c>
      <c r="F163" t="s">
        <v>17</v>
      </c>
      <c r="H163">
        <v>39.99</v>
      </c>
      <c r="J163" t="s">
        <v>19</v>
      </c>
      <c r="K163" t="s">
        <v>50</v>
      </c>
      <c r="L163" t="s">
        <v>29</v>
      </c>
    </row>
    <row r="164" spans="1:12" x14ac:dyDescent="0.25">
      <c r="A164">
        <v>1162</v>
      </c>
      <c r="C164" t="s">
        <v>70</v>
      </c>
      <c r="D164" t="s">
        <v>88</v>
      </c>
      <c r="E164" t="s">
        <v>39</v>
      </c>
      <c r="F164" t="s">
        <v>17</v>
      </c>
      <c r="G164">
        <v>-1</v>
      </c>
      <c r="H164">
        <v>39.99</v>
      </c>
      <c r="J164" t="s">
        <v>27</v>
      </c>
      <c r="K164" t="s">
        <v>28</v>
      </c>
      <c r="L164" t="s">
        <v>35</v>
      </c>
    </row>
    <row r="165" spans="1:12" x14ac:dyDescent="0.25">
      <c r="A165">
        <v>1163</v>
      </c>
      <c r="B165" t="s">
        <v>214</v>
      </c>
      <c r="C165" t="s">
        <v>77</v>
      </c>
      <c r="D165" t="s">
        <v>114</v>
      </c>
      <c r="E165" t="s">
        <v>39</v>
      </c>
      <c r="F165" t="s">
        <v>17</v>
      </c>
      <c r="G165">
        <v>4</v>
      </c>
      <c r="H165">
        <v>39.99</v>
      </c>
      <c r="J165" t="s">
        <v>33</v>
      </c>
      <c r="K165" t="s">
        <v>129</v>
      </c>
      <c r="L165" t="s">
        <v>29</v>
      </c>
    </row>
    <row r="166" spans="1:12" x14ac:dyDescent="0.25">
      <c r="A166">
        <v>1164</v>
      </c>
      <c r="B166" t="s">
        <v>215</v>
      </c>
      <c r="C166" t="s">
        <v>23</v>
      </c>
      <c r="D166" t="s">
        <v>24</v>
      </c>
      <c r="E166" t="s">
        <v>82</v>
      </c>
      <c r="F166" t="s">
        <v>60</v>
      </c>
      <c r="G166">
        <v>5</v>
      </c>
      <c r="H166">
        <v>4.99</v>
      </c>
      <c r="J166" t="s">
        <v>19</v>
      </c>
      <c r="K166" t="s">
        <v>50</v>
      </c>
      <c r="L166" t="s">
        <v>40</v>
      </c>
    </row>
    <row r="167" spans="1:12" x14ac:dyDescent="0.25">
      <c r="A167">
        <v>1165</v>
      </c>
      <c r="B167" t="s">
        <v>216</v>
      </c>
      <c r="C167" t="s">
        <v>23</v>
      </c>
      <c r="D167" t="s">
        <v>124</v>
      </c>
      <c r="E167" t="s">
        <v>16</v>
      </c>
      <c r="F167" t="s">
        <v>17</v>
      </c>
      <c r="G167">
        <v>5</v>
      </c>
      <c r="H167">
        <v>15.99</v>
      </c>
      <c r="J167" t="s">
        <v>54</v>
      </c>
      <c r="K167" t="s">
        <v>55</v>
      </c>
      <c r="L167" t="s">
        <v>21</v>
      </c>
    </row>
    <row r="168" spans="1:12" x14ac:dyDescent="0.25">
      <c r="A168">
        <v>1166</v>
      </c>
      <c r="B168" t="s">
        <v>200</v>
      </c>
      <c r="C168" t="s">
        <v>42</v>
      </c>
      <c r="E168" t="s">
        <v>31</v>
      </c>
      <c r="F168" t="s">
        <v>32</v>
      </c>
      <c r="G168">
        <v>3</v>
      </c>
      <c r="H168">
        <v>79.989999999999995</v>
      </c>
      <c r="J168" t="s">
        <v>57</v>
      </c>
      <c r="K168" t="s">
        <v>68</v>
      </c>
      <c r="L168" t="s">
        <v>35</v>
      </c>
    </row>
    <row r="169" spans="1:12" x14ac:dyDescent="0.25">
      <c r="A169">
        <v>1167</v>
      </c>
      <c r="B169" t="s">
        <v>217</v>
      </c>
      <c r="C169" t="s">
        <v>65</v>
      </c>
      <c r="D169" t="s">
        <v>66</v>
      </c>
      <c r="E169" t="s">
        <v>39</v>
      </c>
      <c r="F169" t="s">
        <v>17</v>
      </c>
      <c r="H169" t="s">
        <v>117</v>
      </c>
      <c r="J169" t="s">
        <v>33</v>
      </c>
      <c r="K169" t="s">
        <v>129</v>
      </c>
      <c r="L169" t="s">
        <v>29</v>
      </c>
    </row>
    <row r="170" spans="1:12" x14ac:dyDescent="0.25">
      <c r="A170">
        <v>1168</v>
      </c>
      <c r="B170" t="s">
        <v>218</v>
      </c>
      <c r="C170" t="s">
        <v>37</v>
      </c>
      <c r="D170" t="s">
        <v>169</v>
      </c>
      <c r="E170" t="s">
        <v>127</v>
      </c>
      <c r="F170" t="s">
        <v>73</v>
      </c>
      <c r="G170">
        <v>3</v>
      </c>
      <c r="H170" t="s">
        <v>137</v>
      </c>
      <c r="J170" t="s">
        <v>33</v>
      </c>
      <c r="K170" t="s">
        <v>68</v>
      </c>
      <c r="L170" t="s">
        <v>40</v>
      </c>
    </row>
    <row r="171" spans="1:12" x14ac:dyDescent="0.25">
      <c r="A171">
        <v>1169</v>
      </c>
      <c r="B171" t="s">
        <v>219</v>
      </c>
      <c r="D171" t="s">
        <v>43</v>
      </c>
      <c r="E171" t="s">
        <v>92</v>
      </c>
      <c r="F171" t="s">
        <v>26</v>
      </c>
      <c r="H171">
        <v>14.99</v>
      </c>
      <c r="J171" t="s">
        <v>33</v>
      </c>
      <c r="K171" t="s">
        <v>129</v>
      </c>
      <c r="L171" t="s">
        <v>21</v>
      </c>
    </row>
    <row r="172" spans="1:12" x14ac:dyDescent="0.25">
      <c r="A172">
        <v>1170</v>
      </c>
      <c r="C172" t="s">
        <v>77</v>
      </c>
      <c r="D172" t="s">
        <v>78</v>
      </c>
      <c r="E172" t="s">
        <v>31</v>
      </c>
      <c r="F172" t="s">
        <v>32</v>
      </c>
      <c r="G172">
        <v>3</v>
      </c>
      <c r="H172">
        <v>79.989999999999995</v>
      </c>
      <c r="J172" t="s">
        <v>33</v>
      </c>
      <c r="K172" t="s">
        <v>34</v>
      </c>
      <c r="L172" t="s">
        <v>46</v>
      </c>
    </row>
    <row r="173" spans="1:12" x14ac:dyDescent="0.25">
      <c r="A173">
        <v>1171</v>
      </c>
      <c r="B173" t="s">
        <v>191</v>
      </c>
      <c r="C173" t="s">
        <v>37</v>
      </c>
      <c r="D173" t="s">
        <v>169</v>
      </c>
      <c r="E173" t="s">
        <v>16</v>
      </c>
      <c r="F173" t="s">
        <v>17</v>
      </c>
      <c r="G173">
        <v>1</v>
      </c>
      <c r="H173">
        <v>15.99</v>
      </c>
      <c r="J173" t="s">
        <v>62</v>
      </c>
      <c r="K173" t="s">
        <v>55</v>
      </c>
      <c r="L173" t="s">
        <v>29</v>
      </c>
    </row>
    <row r="174" spans="1:12" x14ac:dyDescent="0.25">
      <c r="A174">
        <v>1172</v>
      </c>
      <c r="C174" t="s">
        <v>14</v>
      </c>
      <c r="D174" t="s">
        <v>15</v>
      </c>
      <c r="E174" t="s">
        <v>82</v>
      </c>
      <c r="F174" t="s">
        <v>60</v>
      </c>
      <c r="G174">
        <v>5</v>
      </c>
      <c r="H174" t="s">
        <v>61</v>
      </c>
      <c r="J174" t="s">
        <v>54</v>
      </c>
      <c r="K174" t="s">
        <v>50</v>
      </c>
      <c r="L174" t="s">
        <v>46</v>
      </c>
    </row>
    <row r="175" spans="1:12" x14ac:dyDescent="0.25">
      <c r="A175">
        <v>1173</v>
      </c>
      <c r="B175" t="s">
        <v>220</v>
      </c>
      <c r="C175" t="s">
        <v>77</v>
      </c>
      <c r="D175" t="s">
        <v>114</v>
      </c>
      <c r="E175" t="s">
        <v>85</v>
      </c>
      <c r="F175" t="s">
        <v>26</v>
      </c>
      <c r="G175">
        <v>-1</v>
      </c>
      <c r="H175">
        <v>99.99</v>
      </c>
      <c r="J175" t="s">
        <v>54</v>
      </c>
      <c r="K175" t="s">
        <v>129</v>
      </c>
      <c r="L175" t="s">
        <v>46</v>
      </c>
    </row>
    <row r="176" spans="1:12" x14ac:dyDescent="0.25">
      <c r="A176">
        <v>1174</v>
      </c>
      <c r="B176" t="s">
        <v>221</v>
      </c>
      <c r="C176" t="s">
        <v>14</v>
      </c>
      <c r="E176" t="s">
        <v>44</v>
      </c>
      <c r="F176" t="s">
        <v>17</v>
      </c>
      <c r="G176">
        <v>5</v>
      </c>
      <c r="H176">
        <v>15.99</v>
      </c>
      <c r="J176" t="s">
        <v>19</v>
      </c>
      <c r="K176" t="s">
        <v>45</v>
      </c>
      <c r="L176" t="s">
        <v>29</v>
      </c>
    </row>
    <row r="177" spans="1:13" x14ac:dyDescent="0.25">
      <c r="A177">
        <v>1175</v>
      </c>
      <c r="C177" t="s">
        <v>37</v>
      </c>
      <c r="D177" t="s">
        <v>38</v>
      </c>
      <c r="E177" t="s">
        <v>82</v>
      </c>
      <c r="F177" t="s">
        <v>60</v>
      </c>
      <c r="G177">
        <v>4</v>
      </c>
      <c r="H177">
        <v>4.99</v>
      </c>
      <c r="J177" t="s">
        <v>57</v>
      </c>
      <c r="K177" t="s">
        <v>68</v>
      </c>
      <c r="L177" t="s">
        <v>29</v>
      </c>
    </row>
    <row r="178" spans="1:13" x14ac:dyDescent="0.25">
      <c r="A178">
        <v>1176</v>
      </c>
      <c r="B178" t="s">
        <v>222</v>
      </c>
      <c r="C178" t="s">
        <v>23</v>
      </c>
      <c r="D178" t="s">
        <v>124</v>
      </c>
      <c r="E178" t="s">
        <v>59</v>
      </c>
      <c r="F178" t="s">
        <v>60</v>
      </c>
      <c r="H178">
        <v>4.99</v>
      </c>
      <c r="J178" t="s">
        <v>33</v>
      </c>
      <c r="K178" t="s">
        <v>34</v>
      </c>
      <c r="L178" t="s">
        <v>40</v>
      </c>
    </row>
    <row r="179" spans="1:13" x14ac:dyDescent="0.25">
      <c r="A179">
        <v>1177</v>
      </c>
      <c r="B179" t="s">
        <v>223</v>
      </c>
      <c r="C179" t="s">
        <v>14</v>
      </c>
      <c r="D179" t="s">
        <v>75</v>
      </c>
      <c r="E179" t="s">
        <v>52</v>
      </c>
      <c r="F179" t="s">
        <v>53</v>
      </c>
      <c r="G179">
        <v>2</v>
      </c>
      <c r="H179">
        <v>59.99</v>
      </c>
      <c r="J179" t="s">
        <v>62</v>
      </c>
      <c r="K179" t="s">
        <v>129</v>
      </c>
      <c r="L179" t="s">
        <v>35</v>
      </c>
    </row>
    <row r="180" spans="1:13" x14ac:dyDescent="0.25">
      <c r="A180">
        <v>1178</v>
      </c>
      <c r="C180" t="s">
        <v>77</v>
      </c>
      <c r="D180" t="s">
        <v>78</v>
      </c>
      <c r="E180" t="s">
        <v>72</v>
      </c>
      <c r="F180" t="s">
        <v>73</v>
      </c>
      <c r="G180">
        <v>5</v>
      </c>
      <c r="H180">
        <v>49.99</v>
      </c>
      <c r="J180" t="s">
        <v>54</v>
      </c>
      <c r="K180" t="s">
        <v>34</v>
      </c>
      <c r="L180" t="s">
        <v>35</v>
      </c>
    </row>
    <row r="181" spans="1:13" x14ac:dyDescent="0.25">
      <c r="A181">
        <v>1179</v>
      </c>
      <c r="B181" t="s">
        <v>224</v>
      </c>
      <c r="C181" t="s">
        <v>65</v>
      </c>
      <c r="D181" t="s">
        <v>123</v>
      </c>
      <c r="E181" t="s">
        <v>16</v>
      </c>
      <c r="F181" t="s">
        <v>17</v>
      </c>
      <c r="G181">
        <v>4</v>
      </c>
      <c r="H181" t="s">
        <v>18</v>
      </c>
      <c r="J181" t="s">
        <v>19</v>
      </c>
      <c r="K181" t="s">
        <v>68</v>
      </c>
      <c r="L181" t="s">
        <v>35</v>
      </c>
      <c r="M181" t="s">
        <v>63</v>
      </c>
    </row>
    <row r="182" spans="1:13" x14ac:dyDescent="0.25">
      <c r="A182">
        <v>1180</v>
      </c>
      <c r="B182" t="s">
        <v>225</v>
      </c>
      <c r="C182" t="s">
        <v>77</v>
      </c>
      <c r="D182" t="s">
        <v>91</v>
      </c>
      <c r="E182" t="s">
        <v>85</v>
      </c>
      <c r="F182" t="s">
        <v>26</v>
      </c>
      <c r="G182">
        <v>-1</v>
      </c>
      <c r="H182">
        <v>99.99</v>
      </c>
      <c r="J182" t="s">
        <v>27</v>
      </c>
      <c r="K182" t="s">
        <v>55</v>
      </c>
      <c r="L182" t="s">
        <v>40</v>
      </c>
    </row>
    <row r="183" spans="1:13" x14ac:dyDescent="0.25">
      <c r="A183">
        <v>1181</v>
      </c>
      <c r="B183" t="s">
        <v>226</v>
      </c>
      <c r="C183" t="s">
        <v>65</v>
      </c>
      <c r="D183" t="s">
        <v>66</v>
      </c>
      <c r="E183" t="s">
        <v>39</v>
      </c>
      <c r="F183" t="s">
        <v>17</v>
      </c>
      <c r="G183">
        <v>3</v>
      </c>
      <c r="H183">
        <v>39.99</v>
      </c>
      <c r="J183" t="s">
        <v>57</v>
      </c>
      <c r="K183" t="s">
        <v>55</v>
      </c>
      <c r="L183" t="s">
        <v>40</v>
      </c>
    </row>
    <row r="184" spans="1:13" x14ac:dyDescent="0.25">
      <c r="A184">
        <v>1182</v>
      </c>
      <c r="D184" t="s">
        <v>15</v>
      </c>
      <c r="E184" t="s">
        <v>49</v>
      </c>
      <c r="F184" t="s">
        <v>26</v>
      </c>
      <c r="H184">
        <v>14.99</v>
      </c>
      <c r="J184" t="s">
        <v>19</v>
      </c>
      <c r="K184" t="s">
        <v>20</v>
      </c>
      <c r="L184" t="s">
        <v>46</v>
      </c>
      <c r="M184" t="s">
        <v>63</v>
      </c>
    </row>
    <row r="185" spans="1:13" x14ac:dyDescent="0.25">
      <c r="A185">
        <v>1183</v>
      </c>
      <c r="B185" t="s">
        <v>227</v>
      </c>
      <c r="D185" t="s">
        <v>169</v>
      </c>
      <c r="E185" t="s">
        <v>39</v>
      </c>
      <c r="F185" t="s">
        <v>17</v>
      </c>
      <c r="G185">
        <v>3</v>
      </c>
      <c r="H185">
        <v>39.99</v>
      </c>
      <c r="J185" t="s">
        <v>54</v>
      </c>
      <c r="K185" t="s">
        <v>50</v>
      </c>
      <c r="L185" t="s">
        <v>29</v>
      </c>
    </row>
    <row r="186" spans="1:13" x14ac:dyDescent="0.25">
      <c r="A186">
        <v>1184</v>
      </c>
      <c r="B186" t="s">
        <v>228</v>
      </c>
      <c r="C186" t="s">
        <v>14</v>
      </c>
      <c r="D186" t="s">
        <v>75</v>
      </c>
      <c r="E186" t="s">
        <v>72</v>
      </c>
      <c r="F186" t="s">
        <v>73</v>
      </c>
      <c r="G186">
        <v>5</v>
      </c>
      <c r="H186">
        <v>49.99</v>
      </c>
      <c r="J186" t="s">
        <v>62</v>
      </c>
      <c r="K186" t="s">
        <v>50</v>
      </c>
      <c r="L186" t="s">
        <v>21</v>
      </c>
    </row>
    <row r="187" spans="1:13" x14ac:dyDescent="0.25">
      <c r="A187">
        <v>1185</v>
      </c>
      <c r="C187" t="s">
        <v>65</v>
      </c>
      <c r="D187" t="s">
        <v>66</v>
      </c>
      <c r="E187" t="s">
        <v>59</v>
      </c>
      <c r="F187" t="s">
        <v>60</v>
      </c>
      <c r="G187">
        <v>1</v>
      </c>
      <c r="H187" t="s">
        <v>61</v>
      </c>
      <c r="J187" t="s">
        <v>19</v>
      </c>
      <c r="K187" t="s">
        <v>34</v>
      </c>
      <c r="L187" t="s">
        <v>46</v>
      </c>
    </row>
    <row r="188" spans="1:13" x14ac:dyDescent="0.25">
      <c r="A188">
        <v>1186</v>
      </c>
      <c r="B188" t="s">
        <v>229</v>
      </c>
      <c r="C188" t="s">
        <v>37</v>
      </c>
      <c r="D188" t="s">
        <v>169</v>
      </c>
      <c r="E188" t="s">
        <v>16</v>
      </c>
      <c r="F188" t="s">
        <v>17</v>
      </c>
      <c r="H188">
        <v>15.99</v>
      </c>
      <c r="J188" t="s">
        <v>33</v>
      </c>
      <c r="K188" t="s">
        <v>34</v>
      </c>
      <c r="L188" t="s">
        <v>29</v>
      </c>
    </row>
    <row r="189" spans="1:13" x14ac:dyDescent="0.25">
      <c r="A189">
        <v>1187</v>
      </c>
      <c r="B189" t="s">
        <v>230</v>
      </c>
      <c r="C189" t="s">
        <v>65</v>
      </c>
      <c r="D189" t="s">
        <v>126</v>
      </c>
      <c r="E189" t="s">
        <v>16</v>
      </c>
      <c r="F189" t="s">
        <v>17</v>
      </c>
      <c r="G189">
        <v>3</v>
      </c>
      <c r="H189">
        <v>15.99</v>
      </c>
      <c r="J189" t="s">
        <v>19</v>
      </c>
      <c r="K189" t="s">
        <v>55</v>
      </c>
      <c r="L189" t="s">
        <v>40</v>
      </c>
    </row>
    <row r="190" spans="1:13" x14ac:dyDescent="0.25">
      <c r="A190">
        <v>1188</v>
      </c>
      <c r="B190" t="s">
        <v>231</v>
      </c>
      <c r="C190" t="s">
        <v>14</v>
      </c>
      <c r="D190" t="s">
        <v>15</v>
      </c>
      <c r="E190" t="s">
        <v>25</v>
      </c>
      <c r="F190" t="s">
        <v>26</v>
      </c>
      <c r="G190">
        <v>5</v>
      </c>
      <c r="H190">
        <v>99.99</v>
      </c>
      <c r="J190" t="s">
        <v>19</v>
      </c>
      <c r="K190" t="s">
        <v>20</v>
      </c>
      <c r="L190" t="s">
        <v>46</v>
      </c>
    </row>
    <row r="191" spans="1:13" x14ac:dyDescent="0.25">
      <c r="A191">
        <v>1189</v>
      </c>
      <c r="C191" t="s">
        <v>77</v>
      </c>
      <c r="D191" t="s">
        <v>114</v>
      </c>
      <c r="E191" t="s">
        <v>95</v>
      </c>
      <c r="F191" t="s">
        <v>73</v>
      </c>
      <c r="G191">
        <v>5</v>
      </c>
      <c r="H191">
        <v>29.99</v>
      </c>
      <c r="J191" t="s">
        <v>54</v>
      </c>
      <c r="K191" t="s">
        <v>129</v>
      </c>
      <c r="L191" t="s">
        <v>35</v>
      </c>
    </row>
    <row r="192" spans="1:13" x14ac:dyDescent="0.25">
      <c r="A192">
        <v>1190</v>
      </c>
      <c r="C192" t="s">
        <v>77</v>
      </c>
      <c r="D192" t="s">
        <v>78</v>
      </c>
      <c r="E192" t="s">
        <v>85</v>
      </c>
      <c r="F192" t="s">
        <v>26</v>
      </c>
      <c r="H192">
        <v>99.99</v>
      </c>
      <c r="J192" t="s">
        <v>62</v>
      </c>
      <c r="K192" t="s">
        <v>45</v>
      </c>
      <c r="L192" t="s">
        <v>35</v>
      </c>
    </row>
    <row r="193" spans="1:13" x14ac:dyDescent="0.25">
      <c r="A193">
        <v>1191</v>
      </c>
      <c r="B193" t="s">
        <v>232</v>
      </c>
      <c r="C193" t="s">
        <v>37</v>
      </c>
      <c r="D193" t="s">
        <v>169</v>
      </c>
      <c r="E193" t="s">
        <v>72</v>
      </c>
      <c r="F193" t="s">
        <v>73</v>
      </c>
      <c r="G193">
        <v>-1</v>
      </c>
      <c r="H193">
        <v>49.99</v>
      </c>
      <c r="J193" t="s">
        <v>19</v>
      </c>
      <c r="K193" t="s">
        <v>20</v>
      </c>
      <c r="L193" t="s">
        <v>29</v>
      </c>
    </row>
    <row r="194" spans="1:13" x14ac:dyDescent="0.25">
      <c r="A194">
        <v>1192</v>
      </c>
      <c r="B194" t="s">
        <v>233</v>
      </c>
      <c r="C194" t="s">
        <v>70</v>
      </c>
      <c r="D194" t="s">
        <v>71</v>
      </c>
      <c r="E194" t="s">
        <v>44</v>
      </c>
      <c r="F194" t="s">
        <v>17</v>
      </c>
      <c r="G194">
        <v>1</v>
      </c>
      <c r="H194">
        <v>15.99</v>
      </c>
      <c r="J194" t="s">
        <v>19</v>
      </c>
      <c r="K194" t="s">
        <v>50</v>
      </c>
      <c r="L194" t="s">
        <v>40</v>
      </c>
    </row>
    <row r="195" spans="1:13" x14ac:dyDescent="0.25">
      <c r="A195">
        <v>1193</v>
      </c>
      <c r="B195" t="s">
        <v>234</v>
      </c>
      <c r="C195" t="s">
        <v>65</v>
      </c>
      <c r="D195" t="s">
        <v>66</v>
      </c>
      <c r="E195" t="s">
        <v>127</v>
      </c>
      <c r="F195" t="s">
        <v>73</v>
      </c>
      <c r="G195">
        <v>1</v>
      </c>
      <c r="H195" t="s">
        <v>137</v>
      </c>
      <c r="J195" t="s">
        <v>19</v>
      </c>
      <c r="K195" t="s">
        <v>50</v>
      </c>
      <c r="L195" t="s">
        <v>40</v>
      </c>
    </row>
    <row r="196" spans="1:13" x14ac:dyDescent="0.25">
      <c r="A196">
        <v>1194</v>
      </c>
      <c r="B196" t="s">
        <v>235</v>
      </c>
      <c r="C196" t="s">
        <v>42</v>
      </c>
      <c r="D196" t="s">
        <v>48</v>
      </c>
      <c r="E196" t="s">
        <v>31</v>
      </c>
      <c r="F196" t="s">
        <v>32</v>
      </c>
      <c r="G196">
        <v>1</v>
      </c>
      <c r="H196">
        <v>79.989999999999995</v>
      </c>
      <c r="J196" t="s">
        <v>19</v>
      </c>
      <c r="K196" t="s">
        <v>28</v>
      </c>
      <c r="L196" t="s">
        <v>35</v>
      </c>
    </row>
    <row r="197" spans="1:13" x14ac:dyDescent="0.25">
      <c r="A197">
        <v>1195</v>
      </c>
      <c r="B197" t="s">
        <v>236</v>
      </c>
      <c r="C197" t="s">
        <v>70</v>
      </c>
      <c r="D197" t="s">
        <v>131</v>
      </c>
      <c r="E197" t="s">
        <v>49</v>
      </c>
      <c r="F197" t="s">
        <v>26</v>
      </c>
      <c r="H197" t="s">
        <v>56</v>
      </c>
      <c r="J197" t="s">
        <v>19</v>
      </c>
      <c r="K197" t="s">
        <v>129</v>
      </c>
      <c r="L197" t="s">
        <v>29</v>
      </c>
    </row>
    <row r="198" spans="1:13" x14ac:dyDescent="0.25">
      <c r="A198">
        <v>1196</v>
      </c>
      <c r="B198" t="s">
        <v>237</v>
      </c>
      <c r="C198" t="s">
        <v>70</v>
      </c>
      <c r="D198" t="s">
        <v>131</v>
      </c>
      <c r="E198" t="s">
        <v>44</v>
      </c>
      <c r="F198" t="s">
        <v>17</v>
      </c>
      <c r="G198">
        <v>1</v>
      </c>
      <c r="H198">
        <v>15.99</v>
      </c>
      <c r="J198" t="s">
        <v>57</v>
      </c>
      <c r="K198" t="s">
        <v>55</v>
      </c>
      <c r="L198" t="s">
        <v>21</v>
      </c>
    </row>
    <row r="199" spans="1:13" x14ac:dyDescent="0.25">
      <c r="A199">
        <v>1197</v>
      </c>
      <c r="B199" t="s">
        <v>80</v>
      </c>
      <c r="C199" t="s">
        <v>65</v>
      </c>
      <c r="D199" t="s">
        <v>123</v>
      </c>
      <c r="E199" t="s">
        <v>85</v>
      </c>
      <c r="F199" t="s">
        <v>26</v>
      </c>
      <c r="G199">
        <v>-1</v>
      </c>
      <c r="H199">
        <v>99.99</v>
      </c>
      <c r="J199" t="s">
        <v>57</v>
      </c>
      <c r="K199" t="s">
        <v>20</v>
      </c>
      <c r="L199" t="s">
        <v>21</v>
      </c>
    </row>
    <row r="200" spans="1:13" x14ac:dyDescent="0.25">
      <c r="A200">
        <v>1198</v>
      </c>
      <c r="B200" t="s">
        <v>238</v>
      </c>
      <c r="C200" t="s">
        <v>42</v>
      </c>
      <c r="D200" t="s">
        <v>116</v>
      </c>
      <c r="E200" t="s">
        <v>127</v>
      </c>
      <c r="F200" t="s">
        <v>73</v>
      </c>
      <c r="G200">
        <v>5</v>
      </c>
      <c r="H200" t="s">
        <v>137</v>
      </c>
      <c r="J200" t="s">
        <v>57</v>
      </c>
      <c r="K200" t="s">
        <v>50</v>
      </c>
      <c r="L200" t="s">
        <v>46</v>
      </c>
    </row>
    <row r="201" spans="1:13" x14ac:dyDescent="0.25">
      <c r="A201">
        <v>1199</v>
      </c>
      <c r="D201" t="s">
        <v>239</v>
      </c>
      <c r="E201" t="s">
        <v>127</v>
      </c>
      <c r="F201" t="s">
        <v>73</v>
      </c>
      <c r="H201">
        <v>29.99</v>
      </c>
      <c r="J201" t="s">
        <v>54</v>
      </c>
      <c r="K201" t="s">
        <v>34</v>
      </c>
      <c r="L201" t="s">
        <v>21</v>
      </c>
      <c r="M201" t="s">
        <v>63</v>
      </c>
    </row>
    <row r="202" spans="1:13" x14ac:dyDescent="0.25">
      <c r="A202">
        <v>1200</v>
      </c>
      <c r="C202" t="s">
        <v>23</v>
      </c>
      <c r="D202" t="s">
        <v>124</v>
      </c>
      <c r="E202" t="s">
        <v>72</v>
      </c>
      <c r="F202" t="s">
        <v>73</v>
      </c>
      <c r="G202">
        <v>-1</v>
      </c>
      <c r="H202">
        <v>49.99</v>
      </c>
      <c r="J202" t="s">
        <v>62</v>
      </c>
      <c r="K202" t="s">
        <v>50</v>
      </c>
      <c r="L202" t="s">
        <v>21</v>
      </c>
    </row>
    <row r="203" spans="1:13" x14ac:dyDescent="0.25">
      <c r="A203">
        <v>1201</v>
      </c>
      <c r="B203" t="s">
        <v>240</v>
      </c>
      <c r="C203" t="s">
        <v>65</v>
      </c>
      <c r="D203" t="s">
        <v>66</v>
      </c>
      <c r="E203" t="s">
        <v>92</v>
      </c>
      <c r="F203" t="s">
        <v>26</v>
      </c>
      <c r="G203">
        <v>2</v>
      </c>
      <c r="H203">
        <v>14.99</v>
      </c>
      <c r="J203" t="s">
        <v>19</v>
      </c>
      <c r="K203" t="s">
        <v>129</v>
      </c>
      <c r="L203" t="s">
        <v>21</v>
      </c>
    </row>
    <row r="204" spans="1:13" x14ac:dyDescent="0.25">
      <c r="A204">
        <v>1202</v>
      </c>
      <c r="C204" t="s">
        <v>23</v>
      </c>
      <c r="D204" t="s">
        <v>81</v>
      </c>
      <c r="E204" t="s">
        <v>92</v>
      </c>
      <c r="F204" t="s">
        <v>26</v>
      </c>
      <c r="G204">
        <v>4</v>
      </c>
      <c r="H204" t="s">
        <v>56</v>
      </c>
      <c r="J204" t="s">
        <v>27</v>
      </c>
      <c r="K204" t="s">
        <v>20</v>
      </c>
      <c r="L204" t="s">
        <v>46</v>
      </c>
    </row>
    <row r="205" spans="1:13" x14ac:dyDescent="0.25">
      <c r="A205">
        <v>1203</v>
      </c>
      <c r="B205" t="s">
        <v>241</v>
      </c>
      <c r="C205" t="s">
        <v>23</v>
      </c>
      <c r="D205" t="s">
        <v>81</v>
      </c>
      <c r="E205" t="s">
        <v>89</v>
      </c>
      <c r="F205" t="s">
        <v>17</v>
      </c>
      <c r="G205">
        <v>3</v>
      </c>
      <c r="H205">
        <v>39.99</v>
      </c>
      <c r="J205" t="s">
        <v>19</v>
      </c>
      <c r="K205" t="s">
        <v>20</v>
      </c>
      <c r="L205" t="s">
        <v>35</v>
      </c>
    </row>
    <row r="206" spans="1:13" x14ac:dyDescent="0.25">
      <c r="A206">
        <v>1204</v>
      </c>
      <c r="B206" t="s">
        <v>242</v>
      </c>
      <c r="C206" t="s">
        <v>37</v>
      </c>
      <c r="D206" t="s">
        <v>169</v>
      </c>
      <c r="E206" t="s">
        <v>72</v>
      </c>
      <c r="F206" t="s">
        <v>73</v>
      </c>
      <c r="G206">
        <v>-1</v>
      </c>
      <c r="H206" t="s">
        <v>108</v>
      </c>
      <c r="J206" t="s">
        <v>33</v>
      </c>
      <c r="K206" t="s">
        <v>68</v>
      </c>
      <c r="L206" t="s">
        <v>35</v>
      </c>
    </row>
    <row r="207" spans="1:13" x14ac:dyDescent="0.25">
      <c r="A207">
        <v>1205</v>
      </c>
      <c r="B207" t="s">
        <v>243</v>
      </c>
      <c r="D207" t="s">
        <v>169</v>
      </c>
      <c r="E207" t="s">
        <v>49</v>
      </c>
      <c r="F207" t="s">
        <v>26</v>
      </c>
      <c r="G207">
        <v>1</v>
      </c>
      <c r="H207">
        <v>14.99</v>
      </c>
      <c r="J207" t="s">
        <v>27</v>
      </c>
      <c r="K207" t="s">
        <v>68</v>
      </c>
      <c r="L207" t="s">
        <v>21</v>
      </c>
    </row>
    <row r="208" spans="1:13" x14ac:dyDescent="0.25">
      <c r="A208">
        <v>1206</v>
      </c>
      <c r="B208" t="s">
        <v>104</v>
      </c>
      <c r="C208" t="s">
        <v>65</v>
      </c>
      <c r="D208" t="s">
        <v>123</v>
      </c>
      <c r="E208" t="s">
        <v>31</v>
      </c>
      <c r="F208" t="s">
        <v>32</v>
      </c>
      <c r="G208">
        <v>-1</v>
      </c>
      <c r="H208">
        <v>79.989999999999995</v>
      </c>
      <c r="J208" t="s">
        <v>27</v>
      </c>
      <c r="K208" t="s">
        <v>34</v>
      </c>
      <c r="L208" t="s">
        <v>21</v>
      </c>
    </row>
    <row r="209" spans="1:12" x14ac:dyDescent="0.25">
      <c r="A209">
        <v>1207</v>
      </c>
      <c r="B209" t="s">
        <v>244</v>
      </c>
      <c r="C209" t="s">
        <v>65</v>
      </c>
      <c r="D209" t="s">
        <v>123</v>
      </c>
      <c r="E209" t="s">
        <v>39</v>
      </c>
      <c r="F209" t="s">
        <v>17</v>
      </c>
      <c r="G209">
        <v>4</v>
      </c>
      <c r="H209" t="s">
        <v>117</v>
      </c>
      <c r="J209" t="s">
        <v>27</v>
      </c>
      <c r="K209" t="s">
        <v>20</v>
      </c>
      <c r="L209" t="s">
        <v>29</v>
      </c>
    </row>
    <row r="210" spans="1:12" x14ac:dyDescent="0.25">
      <c r="A210">
        <v>1208</v>
      </c>
      <c r="B210" t="s">
        <v>245</v>
      </c>
      <c r="C210" t="s">
        <v>42</v>
      </c>
      <c r="D210" t="s">
        <v>116</v>
      </c>
      <c r="E210" t="s">
        <v>92</v>
      </c>
      <c r="F210" t="s">
        <v>26</v>
      </c>
      <c r="G210">
        <v>4</v>
      </c>
      <c r="H210">
        <v>14.99</v>
      </c>
      <c r="J210" t="s">
        <v>57</v>
      </c>
      <c r="K210" t="s">
        <v>68</v>
      </c>
      <c r="L210" t="s">
        <v>21</v>
      </c>
    </row>
    <row r="211" spans="1:12" x14ac:dyDescent="0.25">
      <c r="A211">
        <v>1209</v>
      </c>
      <c r="B211" t="s">
        <v>246</v>
      </c>
      <c r="C211" t="s">
        <v>77</v>
      </c>
      <c r="D211" t="s">
        <v>114</v>
      </c>
      <c r="E211" t="s">
        <v>82</v>
      </c>
      <c r="F211" t="s">
        <v>60</v>
      </c>
      <c r="G211">
        <v>-1</v>
      </c>
      <c r="H211" t="s">
        <v>61</v>
      </c>
      <c r="J211" t="s">
        <v>57</v>
      </c>
      <c r="K211" t="s">
        <v>55</v>
      </c>
      <c r="L211" t="s">
        <v>35</v>
      </c>
    </row>
    <row r="212" spans="1:12" x14ac:dyDescent="0.25">
      <c r="A212">
        <v>1210</v>
      </c>
      <c r="B212" t="s">
        <v>247</v>
      </c>
      <c r="C212" t="s">
        <v>37</v>
      </c>
      <c r="E212" t="s">
        <v>16</v>
      </c>
      <c r="F212" t="s">
        <v>17</v>
      </c>
      <c r="G212">
        <v>3</v>
      </c>
      <c r="H212" t="s">
        <v>18</v>
      </c>
      <c r="J212" t="s">
        <v>62</v>
      </c>
      <c r="K212" t="s">
        <v>34</v>
      </c>
      <c r="L212" t="s">
        <v>21</v>
      </c>
    </row>
    <row r="213" spans="1:12" x14ac:dyDescent="0.25">
      <c r="A213">
        <v>1211</v>
      </c>
      <c r="B213" t="s">
        <v>206</v>
      </c>
      <c r="C213" t="s">
        <v>37</v>
      </c>
      <c r="D213" t="s">
        <v>169</v>
      </c>
      <c r="E213" t="s">
        <v>82</v>
      </c>
      <c r="F213" t="s">
        <v>60</v>
      </c>
      <c r="G213">
        <v>4</v>
      </c>
      <c r="H213">
        <v>4.99</v>
      </c>
      <c r="J213" t="s">
        <v>54</v>
      </c>
      <c r="K213" t="s">
        <v>34</v>
      </c>
      <c r="L213" t="s">
        <v>40</v>
      </c>
    </row>
    <row r="214" spans="1:12" x14ac:dyDescent="0.25">
      <c r="A214">
        <v>1212</v>
      </c>
      <c r="B214" t="s">
        <v>248</v>
      </c>
      <c r="C214" t="s">
        <v>14</v>
      </c>
      <c r="D214" t="s">
        <v>75</v>
      </c>
      <c r="E214" t="s">
        <v>52</v>
      </c>
      <c r="F214" t="s">
        <v>53</v>
      </c>
      <c r="G214">
        <v>1</v>
      </c>
      <c r="H214">
        <v>59.99</v>
      </c>
      <c r="J214" t="s">
        <v>27</v>
      </c>
      <c r="K214" t="s">
        <v>50</v>
      </c>
      <c r="L214" t="s">
        <v>40</v>
      </c>
    </row>
    <row r="215" spans="1:12" x14ac:dyDescent="0.25">
      <c r="A215">
        <v>1213</v>
      </c>
      <c r="B215" t="s">
        <v>249</v>
      </c>
      <c r="C215" t="s">
        <v>70</v>
      </c>
      <c r="D215" t="s">
        <v>88</v>
      </c>
      <c r="E215" t="s">
        <v>52</v>
      </c>
      <c r="F215" t="s">
        <v>53</v>
      </c>
      <c r="H215">
        <v>59.99</v>
      </c>
      <c r="J215" t="s">
        <v>62</v>
      </c>
      <c r="K215" t="s">
        <v>20</v>
      </c>
      <c r="L215" t="s">
        <v>29</v>
      </c>
    </row>
    <row r="216" spans="1:12" x14ac:dyDescent="0.25">
      <c r="A216">
        <v>1214</v>
      </c>
      <c r="B216" t="s">
        <v>250</v>
      </c>
      <c r="C216" t="s">
        <v>14</v>
      </c>
      <c r="D216" t="s">
        <v>75</v>
      </c>
      <c r="E216" t="s">
        <v>85</v>
      </c>
      <c r="F216" t="s">
        <v>26</v>
      </c>
      <c r="H216" t="s">
        <v>86</v>
      </c>
      <c r="J216" t="s">
        <v>33</v>
      </c>
      <c r="K216" t="s">
        <v>55</v>
      </c>
      <c r="L216" t="s">
        <v>29</v>
      </c>
    </row>
    <row r="217" spans="1:12" x14ac:dyDescent="0.25">
      <c r="A217">
        <v>1215</v>
      </c>
      <c r="C217" t="s">
        <v>37</v>
      </c>
      <c r="D217" t="s">
        <v>38</v>
      </c>
      <c r="E217" t="s">
        <v>59</v>
      </c>
      <c r="F217" t="s">
        <v>60</v>
      </c>
      <c r="G217">
        <v>3</v>
      </c>
      <c r="H217">
        <v>4.99</v>
      </c>
      <c r="J217" t="s">
        <v>19</v>
      </c>
      <c r="K217" t="s">
        <v>129</v>
      </c>
      <c r="L217" t="s">
        <v>29</v>
      </c>
    </row>
    <row r="218" spans="1:12" x14ac:dyDescent="0.25">
      <c r="A218">
        <v>1216</v>
      </c>
      <c r="C218" t="s">
        <v>14</v>
      </c>
      <c r="D218" t="s">
        <v>84</v>
      </c>
      <c r="E218" t="s">
        <v>92</v>
      </c>
      <c r="F218" t="s">
        <v>26</v>
      </c>
      <c r="H218">
        <v>14.99</v>
      </c>
      <c r="J218" t="s">
        <v>62</v>
      </c>
      <c r="K218" t="s">
        <v>28</v>
      </c>
      <c r="L218" t="s">
        <v>46</v>
      </c>
    </row>
    <row r="219" spans="1:12" x14ac:dyDescent="0.25">
      <c r="A219">
        <v>1217</v>
      </c>
      <c r="B219" t="s">
        <v>251</v>
      </c>
      <c r="C219" t="s">
        <v>14</v>
      </c>
      <c r="D219" t="s">
        <v>15</v>
      </c>
      <c r="E219" t="s">
        <v>82</v>
      </c>
      <c r="F219" t="s">
        <v>60</v>
      </c>
      <c r="H219" t="s">
        <v>61</v>
      </c>
      <c r="J219" t="s">
        <v>54</v>
      </c>
      <c r="K219" t="s">
        <v>55</v>
      </c>
      <c r="L219" t="s">
        <v>40</v>
      </c>
    </row>
    <row r="220" spans="1:12" x14ac:dyDescent="0.25">
      <c r="A220">
        <v>1218</v>
      </c>
      <c r="B220" t="s">
        <v>252</v>
      </c>
      <c r="C220" t="s">
        <v>42</v>
      </c>
      <c r="D220" t="s">
        <v>43</v>
      </c>
      <c r="E220" t="s">
        <v>39</v>
      </c>
      <c r="F220" t="s">
        <v>17</v>
      </c>
      <c r="G220">
        <v>5</v>
      </c>
      <c r="H220" t="s">
        <v>117</v>
      </c>
      <c r="J220" t="s">
        <v>62</v>
      </c>
      <c r="K220" t="s">
        <v>45</v>
      </c>
      <c r="L220" t="s">
        <v>40</v>
      </c>
    </row>
    <row r="221" spans="1:12" x14ac:dyDescent="0.25">
      <c r="A221">
        <v>1219</v>
      </c>
      <c r="B221" t="s">
        <v>253</v>
      </c>
      <c r="C221" t="s">
        <v>70</v>
      </c>
      <c r="D221" t="s">
        <v>71</v>
      </c>
      <c r="E221" t="s">
        <v>52</v>
      </c>
      <c r="F221" t="s">
        <v>53</v>
      </c>
      <c r="H221">
        <v>59.99</v>
      </c>
      <c r="J221" t="s">
        <v>27</v>
      </c>
      <c r="K221" t="s">
        <v>50</v>
      </c>
      <c r="L221" t="s">
        <v>35</v>
      </c>
    </row>
    <row r="222" spans="1:12" x14ac:dyDescent="0.25">
      <c r="A222">
        <v>1220</v>
      </c>
      <c r="C222" t="s">
        <v>42</v>
      </c>
      <c r="D222" t="s">
        <v>43</v>
      </c>
      <c r="E222" t="s">
        <v>31</v>
      </c>
      <c r="F222" t="s">
        <v>32</v>
      </c>
      <c r="H222">
        <v>79.989999999999995</v>
      </c>
      <c r="J222" t="s">
        <v>54</v>
      </c>
      <c r="K222" t="s">
        <v>68</v>
      </c>
      <c r="L222" t="s">
        <v>40</v>
      </c>
    </row>
    <row r="223" spans="1:12" x14ac:dyDescent="0.25">
      <c r="A223">
        <v>1221</v>
      </c>
      <c r="B223" t="s">
        <v>254</v>
      </c>
      <c r="C223" t="s">
        <v>37</v>
      </c>
      <c r="D223" t="s">
        <v>38</v>
      </c>
      <c r="E223" t="s">
        <v>25</v>
      </c>
      <c r="F223" t="s">
        <v>26</v>
      </c>
      <c r="G223">
        <v>3</v>
      </c>
      <c r="H223" t="s">
        <v>86</v>
      </c>
      <c r="J223" t="s">
        <v>62</v>
      </c>
      <c r="K223" t="s">
        <v>129</v>
      </c>
      <c r="L223" t="s">
        <v>35</v>
      </c>
    </row>
    <row r="224" spans="1:12" x14ac:dyDescent="0.25">
      <c r="A224">
        <v>1222</v>
      </c>
      <c r="B224" t="s">
        <v>255</v>
      </c>
      <c r="C224" t="s">
        <v>42</v>
      </c>
      <c r="D224" t="s">
        <v>48</v>
      </c>
      <c r="E224" t="s">
        <v>82</v>
      </c>
      <c r="F224" t="s">
        <v>60</v>
      </c>
      <c r="G224">
        <v>1</v>
      </c>
      <c r="H224">
        <v>4.99</v>
      </c>
      <c r="J224" t="s">
        <v>27</v>
      </c>
      <c r="K224" t="s">
        <v>50</v>
      </c>
      <c r="L224" t="s">
        <v>29</v>
      </c>
    </row>
    <row r="225" spans="1:13" x14ac:dyDescent="0.25">
      <c r="A225">
        <v>1223</v>
      </c>
      <c r="B225" t="s">
        <v>256</v>
      </c>
      <c r="C225" t="s">
        <v>14</v>
      </c>
      <c r="D225" t="s">
        <v>15</v>
      </c>
      <c r="E225" t="s">
        <v>25</v>
      </c>
      <c r="F225" t="s">
        <v>26</v>
      </c>
      <c r="H225" t="s">
        <v>86</v>
      </c>
      <c r="J225" t="s">
        <v>57</v>
      </c>
      <c r="K225" t="s">
        <v>28</v>
      </c>
      <c r="L225" t="s">
        <v>21</v>
      </c>
    </row>
    <row r="226" spans="1:13" x14ac:dyDescent="0.25">
      <c r="A226">
        <v>1224</v>
      </c>
      <c r="B226" t="s">
        <v>257</v>
      </c>
      <c r="C226" t="s">
        <v>65</v>
      </c>
      <c r="D226" t="s">
        <v>66</v>
      </c>
      <c r="E226" t="s">
        <v>127</v>
      </c>
      <c r="F226" t="s">
        <v>73</v>
      </c>
      <c r="G226">
        <v>5</v>
      </c>
      <c r="H226" t="s">
        <v>137</v>
      </c>
      <c r="J226" t="s">
        <v>33</v>
      </c>
      <c r="K226" t="s">
        <v>129</v>
      </c>
      <c r="L226" t="s">
        <v>46</v>
      </c>
    </row>
    <row r="227" spans="1:13" x14ac:dyDescent="0.25">
      <c r="A227">
        <v>1225</v>
      </c>
      <c r="B227" t="s">
        <v>258</v>
      </c>
      <c r="C227" t="s">
        <v>70</v>
      </c>
      <c r="D227" t="s">
        <v>131</v>
      </c>
      <c r="E227" t="s">
        <v>52</v>
      </c>
      <c r="F227" t="s">
        <v>53</v>
      </c>
      <c r="H227">
        <v>59.99</v>
      </c>
      <c r="J227" t="s">
        <v>54</v>
      </c>
      <c r="K227" t="s">
        <v>45</v>
      </c>
      <c r="L227" t="s">
        <v>40</v>
      </c>
    </row>
    <row r="228" spans="1:13" x14ac:dyDescent="0.25">
      <c r="A228">
        <v>1226</v>
      </c>
      <c r="B228" t="s">
        <v>259</v>
      </c>
      <c r="C228" t="s">
        <v>23</v>
      </c>
      <c r="D228" t="s">
        <v>81</v>
      </c>
      <c r="E228" t="s">
        <v>127</v>
      </c>
      <c r="F228" t="s">
        <v>73</v>
      </c>
      <c r="H228">
        <v>29.99</v>
      </c>
      <c r="J228" t="s">
        <v>62</v>
      </c>
      <c r="K228" t="s">
        <v>34</v>
      </c>
      <c r="L228" t="s">
        <v>35</v>
      </c>
    </row>
    <row r="229" spans="1:13" x14ac:dyDescent="0.25">
      <c r="A229">
        <v>1227</v>
      </c>
      <c r="B229" t="s">
        <v>260</v>
      </c>
      <c r="C229" t="s">
        <v>23</v>
      </c>
      <c r="D229" t="s">
        <v>24</v>
      </c>
      <c r="E229" t="s">
        <v>127</v>
      </c>
      <c r="F229" t="s">
        <v>73</v>
      </c>
      <c r="G229">
        <v>3</v>
      </c>
      <c r="H229" t="s">
        <v>137</v>
      </c>
      <c r="J229" t="s">
        <v>57</v>
      </c>
      <c r="K229" t="s">
        <v>20</v>
      </c>
      <c r="L229" t="s">
        <v>46</v>
      </c>
    </row>
    <row r="230" spans="1:13" x14ac:dyDescent="0.25">
      <c r="A230">
        <v>1228</v>
      </c>
      <c r="C230" t="s">
        <v>14</v>
      </c>
      <c r="D230" t="s">
        <v>15</v>
      </c>
      <c r="E230" t="s">
        <v>31</v>
      </c>
      <c r="F230" t="s">
        <v>32</v>
      </c>
      <c r="H230">
        <v>79.989999999999995</v>
      </c>
      <c r="J230" t="s">
        <v>27</v>
      </c>
      <c r="K230" t="s">
        <v>20</v>
      </c>
      <c r="L230" t="s">
        <v>40</v>
      </c>
    </row>
    <row r="231" spans="1:13" x14ac:dyDescent="0.25">
      <c r="A231">
        <v>1229</v>
      </c>
      <c r="B231" t="s">
        <v>261</v>
      </c>
      <c r="C231" t="s">
        <v>37</v>
      </c>
      <c r="D231" t="s">
        <v>38</v>
      </c>
      <c r="E231" t="s">
        <v>107</v>
      </c>
      <c r="F231" t="s">
        <v>73</v>
      </c>
      <c r="G231">
        <v>4</v>
      </c>
      <c r="H231">
        <v>49.99</v>
      </c>
      <c r="J231" t="s">
        <v>19</v>
      </c>
      <c r="K231" t="s">
        <v>129</v>
      </c>
      <c r="L231" t="s">
        <v>46</v>
      </c>
    </row>
    <row r="232" spans="1:13" x14ac:dyDescent="0.25">
      <c r="A232">
        <v>1230</v>
      </c>
      <c r="B232" t="s">
        <v>262</v>
      </c>
      <c r="C232" t="s">
        <v>77</v>
      </c>
      <c r="D232" t="s">
        <v>114</v>
      </c>
      <c r="E232" t="s">
        <v>31</v>
      </c>
      <c r="F232" t="s">
        <v>32</v>
      </c>
      <c r="G232">
        <v>2</v>
      </c>
      <c r="H232">
        <v>79.989999999999995</v>
      </c>
      <c r="J232" t="s">
        <v>62</v>
      </c>
      <c r="K232" t="s">
        <v>28</v>
      </c>
      <c r="L232" t="s">
        <v>40</v>
      </c>
    </row>
    <row r="233" spans="1:13" x14ac:dyDescent="0.25">
      <c r="A233">
        <v>1231</v>
      </c>
      <c r="B233" t="s">
        <v>263</v>
      </c>
      <c r="C233" t="s">
        <v>23</v>
      </c>
      <c r="D233" t="s">
        <v>81</v>
      </c>
      <c r="E233" t="s">
        <v>59</v>
      </c>
      <c r="F233" t="s">
        <v>60</v>
      </c>
      <c r="G233">
        <v>5</v>
      </c>
      <c r="H233">
        <v>4.99</v>
      </c>
      <c r="J233" t="s">
        <v>33</v>
      </c>
      <c r="K233" t="s">
        <v>68</v>
      </c>
      <c r="L233" t="s">
        <v>21</v>
      </c>
      <c r="M233" t="s">
        <v>63</v>
      </c>
    </row>
    <row r="234" spans="1:13" x14ac:dyDescent="0.25">
      <c r="A234">
        <v>1232</v>
      </c>
      <c r="B234" t="s">
        <v>264</v>
      </c>
      <c r="C234" t="s">
        <v>70</v>
      </c>
      <c r="D234" t="s">
        <v>265</v>
      </c>
      <c r="E234" t="s">
        <v>25</v>
      </c>
      <c r="F234" t="s">
        <v>26</v>
      </c>
      <c r="G234">
        <v>2</v>
      </c>
      <c r="H234" t="s">
        <v>86</v>
      </c>
      <c r="J234" t="s">
        <v>19</v>
      </c>
      <c r="K234" t="s">
        <v>45</v>
      </c>
      <c r="L234" t="s">
        <v>46</v>
      </c>
    </row>
    <row r="235" spans="1:13" x14ac:dyDescent="0.25">
      <c r="A235">
        <v>1233</v>
      </c>
      <c r="B235" t="s">
        <v>266</v>
      </c>
      <c r="D235" t="s">
        <v>43</v>
      </c>
      <c r="E235" t="s">
        <v>49</v>
      </c>
      <c r="F235" t="s">
        <v>26</v>
      </c>
      <c r="H235">
        <v>14.99</v>
      </c>
      <c r="J235" t="s">
        <v>19</v>
      </c>
      <c r="K235" t="s">
        <v>45</v>
      </c>
      <c r="L235" t="s">
        <v>40</v>
      </c>
    </row>
    <row r="236" spans="1:13" x14ac:dyDescent="0.25">
      <c r="A236">
        <v>1234</v>
      </c>
      <c r="B236" t="s">
        <v>267</v>
      </c>
      <c r="C236" t="s">
        <v>77</v>
      </c>
      <c r="D236" t="s">
        <v>91</v>
      </c>
      <c r="E236" t="s">
        <v>44</v>
      </c>
      <c r="F236" t="s">
        <v>17</v>
      </c>
      <c r="G236">
        <v>1</v>
      </c>
      <c r="H236">
        <v>15.99</v>
      </c>
      <c r="J236" t="s">
        <v>19</v>
      </c>
      <c r="K236" t="s">
        <v>55</v>
      </c>
      <c r="L236" t="s">
        <v>21</v>
      </c>
    </row>
    <row r="237" spans="1:13" x14ac:dyDescent="0.25">
      <c r="A237">
        <v>1235</v>
      </c>
      <c r="C237" t="s">
        <v>70</v>
      </c>
      <c r="D237" t="s">
        <v>131</v>
      </c>
      <c r="E237" t="s">
        <v>25</v>
      </c>
      <c r="F237" t="s">
        <v>26</v>
      </c>
      <c r="G237">
        <v>-1</v>
      </c>
      <c r="H237">
        <v>99.99</v>
      </c>
      <c r="J237" t="s">
        <v>57</v>
      </c>
      <c r="K237" t="s">
        <v>129</v>
      </c>
      <c r="L237" t="s">
        <v>35</v>
      </c>
    </row>
    <row r="238" spans="1:13" x14ac:dyDescent="0.25">
      <c r="A238">
        <v>1236</v>
      </c>
      <c r="B238" t="s">
        <v>268</v>
      </c>
      <c r="C238" t="s">
        <v>23</v>
      </c>
      <c r="D238" t="s">
        <v>24</v>
      </c>
      <c r="E238" t="s">
        <v>39</v>
      </c>
      <c r="F238" t="s">
        <v>17</v>
      </c>
      <c r="G238">
        <v>3</v>
      </c>
      <c r="H238" t="s">
        <v>117</v>
      </c>
      <c r="J238" t="s">
        <v>54</v>
      </c>
      <c r="K238" t="s">
        <v>20</v>
      </c>
      <c r="L238" t="s">
        <v>21</v>
      </c>
    </row>
    <row r="239" spans="1:13" x14ac:dyDescent="0.25">
      <c r="A239">
        <v>1237</v>
      </c>
      <c r="B239" t="s">
        <v>252</v>
      </c>
      <c r="C239" t="s">
        <v>77</v>
      </c>
      <c r="D239" t="s">
        <v>120</v>
      </c>
      <c r="E239" t="s">
        <v>72</v>
      </c>
      <c r="F239" t="s">
        <v>73</v>
      </c>
      <c r="G239">
        <v>3</v>
      </c>
      <c r="H239" t="s">
        <v>108</v>
      </c>
      <c r="J239" t="s">
        <v>33</v>
      </c>
      <c r="K239" t="s">
        <v>129</v>
      </c>
      <c r="L239" t="s">
        <v>46</v>
      </c>
    </row>
    <row r="240" spans="1:13" x14ac:dyDescent="0.25">
      <c r="A240">
        <v>1238</v>
      </c>
      <c r="B240" t="s">
        <v>269</v>
      </c>
      <c r="C240" t="s">
        <v>65</v>
      </c>
      <c r="D240" t="s">
        <v>66</v>
      </c>
      <c r="E240" t="s">
        <v>39</v>
      </c>
      <c r="F240" t="s">
        <v>17</v>
      </c>
      <c r="G240">
        <v>2</v>
      </c>
      <c r="H240">
        <v>39.99</v>
      </c>
      <c r="J240" t="s">
        <v>62</v>
      </c>
      <c r="K240" t="s">
        <v>68</v>
      </c>
      <c r="L240" t="s">
        <v>40</v>
      </c>
    </row>
    <row r="241" spans="1:12" x14ac:dyDescent="0.25">
      <c r="A241">
        <v>1239</v>
      </c>
      <c r="B241" t="s">
        <v>183</v>
      </c>
      <c r="C241" t="s">
        <v>14</v>
      </c>
      <c r="D241" t="s">
        <v>84</v>
      </c>
      <c r="E241" t="s">
        <v>72</v>
      </c>
      <c r="F241" t="s">
        <v>73</v>
      </c>
      <c r="G241">
        <v>2</v>
      </c>
      <c r="H241" t="s">
        <v>108</v>
      </c>
      <c r="J241" t="s">
        <v>57</v>
      </c>
      <c r="K241" t="s">
        <v>68</v>
      </c>
      <c r="L241" t="s">
        <v>40</v>
      </c>
    </row>
    <row r="242" spans="1:12" x14ac:dyDescent="0.25">
      <c r="A242">
        <v>1240</v>
      </c>
      <c r="C242" t="s">
        <v>37</v>
      </c>
      <c r="D242" t="s">
        <v>169</v>
      </c>
      <c r="E242" t="s">
        <v>67</v>
      </c>
      <c r="F242" t="s">
        <v>32</v>
      </c>
      <c r="G242">
        <v>4</v>
      </c>
      <c r="H242" t="s">
        <v>125</v>
      </c>
      <c r="J242" t="s">
        <v>57</v>
      </c>
      <c r="K242" t="s">
        <v>20</v>
      </c>
      <c r="L242" t="s">
        <v>29</v>
      </c>
    </row>
    <row r="243" spans="1:12" x14ac:dyDescent="0.25">
      <c r="A243">
        <v>1241</v>
      </c>
      <c r="B243" t="s">
        <v>270</v>
      </c>
      <c r="C243" t="s">
        <v>77</v>
      </c>
      <c r="D243" t="s">
        <v>91</v>
      </c>
      <c r="E243" t="s">
        <v>127</v>
      </c>
      <c r="F243" t="s">
        <v>73</v>
      </c>
      <c r="G243">
        <v>1</v>
      </c>
      <c r="H243" t="s">
        <v>137</v>
      </c>
      <c r="J243" t="s">
        <v>27</v>
      </c>
      <c r="K243" t="s">
        <v>50</v>
      </c>
      <c r="L243" t="s">
        <v>40</v>
      </c>
    </row>
    <row r="244" spans="1:12" x14ac:dyDescent="0.25">
      <c r="A244">
        <v>1242</v>
      </c>
      <c r="B244" t="s">
        <v>271</v>
      </c>
      <c r="C244" t="s">
        <v>70</v>
      </c>
      <c r="D244" t="s">
        <v>71</v>
      </c>
      <c r="E244" t="s">
        <v>67</v>
      </c>
      <c r="F244" t="s">
        <v>32</v>
      </c>
      <c r="G244">
        <v>3</v>
      </c>
      <c r="H244" t="s">
        <v>125</v>
      </c>
      <c r="J244" t="s">
        <v>54</v>
      </c>
      <c r="K244" t="s">
        <v>20</v>
      </c>
      <c r="L244" t="s">
        <v>35</v>
      </c>
    </row>
    <row r="245" spans="1:12" x14ac:dyDescent="0.25">
      <c r="A245">
        <v>1243</v>
      </c>
      <c r="C245" t="s">
        <v>65</v>
      </c>
      <c r="D245" t="s">
        <v>126</v>
      </c>
      <c r="E245" t="s">
        <v>82</v>
      </c>
      <c r="F245" t="s">
        <v>60</v>
      </c>
      <c r="G245">
        <v>3</v>
      </c>
      <c r="H245">
        <v>4.99</v>
      </c>
      <c r="J245" t="s">
        <v>27</v>
      </c>
      <c r="K245" t="s">
        <v>45</v>
      </c>
      <c r="L245" t="s">
        <v>40</v>
      </c>
    </row>
    <row r="246" spans="1:12" x14ac:dyDescent="0.25">
      <c r="A246">
        <v>1244</v>
      </c>
      <c r="B246" t="s">
        <v>272</v>
      </c>
      <c r="C246" t="s">
        <v>70</v>
      </c>
      <c r="D246" t="s">
        <v>71</v>
      </c>
      <c r="E246" t="s">
        <v>67</v>
      </c>
      <c r="F246" t="s">
        <v>32</v>
      </c>
      <c r="G246">
        <v>4</v>
      </c>
      <c r="H246" t="s">
        <v>125</v>
      </c>
      <c r="J246" t="s">
        <v>54</v>
      </c>
      <c r="K246" t="s">
        <v>28</v>
      </c>
      <c r="L246" t="s">
        <v>40</v>
      </c>
    </row>
    <row r="247" spans="1:12" x14ac:dyDescent="0.25">
      <c r="A247">
        <v>1245</v>
      </c>
      <c r="B247" t="s">
        <v>194</v>
      </c>
      <c r="C247" t="s">
        <v>14</v>
      </c>
      <c r="D247" t="s">
        <v>15</v>
      </c>
      <c r="E247" t="s">
        <v>95</v>
      </c>
      <c r="F247" t="s">
        <v>73</v>
      </c>
      <c r="G247">
        <v>-1</v>
      </c>
      <c r="H247" t="s">
        <v>137</v>
      </c>
      <c r="J247" t="s">
        <v>33</v>
      </c>
      <c r="K247" t="s">
        <v>68</v>
      </c>
      <c r="L247" t="s">
        <v>29</v>
      </c>
    </row>
    <row r="248" spans="1:12" x14ac:dyDescent="0.25">
      <c r="A248">
        <v>1246</v>
      </c>
      <c r="C248" t="s">
        <v>65</v>
      </c>
      <c r="D248" t="s">
        <v>126</v>
      </c>
      <c r="E248" t="s">
        <v>85</v>
      </c>
      <c r="F248" t="s">
        <v>26</v>
      </c>
      <c r="G248">
        <v>3</v>
      </c>
      <c r="H248" t="s">
        <v>86</v>
      </c>
      <c r="J248" t="s">
        <v>54</v>
      </c>
      <c r="K248" t="s">
        <v>129</v>
      </c>
      <c r="L248" t="s">
        <v>35</v>
      </c>
    </row>
    <row r="249" spans="1:12" x14ac:dyDescent="0.25">
      <c r="A249">
        <v>1247</v>
      </c>
      <c r="C249" t="s">
        <v>37</v>
      </c>
      <c r="E249" t="s">
        <v>39</v>
      </c>
      <c r="F249" t="s">
        <v>17</v>
      </c>
      <c r="G249">
        <v>3</v>
      </c>
      <c r="H249">
        <v>39.99</v>
      </c>
      <c r="J249" t="s">
        <v>33</v>
      </c>
      <c r="K249" t="s">
        <v>45</v>
      </c>
      <c r="L249" t="s">
        <v>29</v>
      </c>
    </row>
    <row r="250" spans="1:12" x14ac:dyDescent="0.25">
      <c r="A250">
        <v>1248</v>
      </c>
      <c r="C250" t="s">
        <v>14</v>
      </c>
      <c r="D250" t="s">
        <v>15</v>
      </c>
      <c r="E250" t="s">
        <v>92</v>
      </c>
      <c r="F250" t="s">
        <v>26</v>
      </c>
      <c r="G250">
        <v>5</v>
      </c>
      <c r="H250" t="s">
        <v>56</v>
      </c>
      <c r="J250" t="s">
        <v>62</v>
      </c>
      <c r="K250" t="s">
        <v>50</v>
      </c>
      <c r="L250" t="s">
        <v>29</v>
      </c>
    </row>
    <row r="251" spans="1:12" x14ac:dyDescent="0.25">
      <c r="A251">
        <v>1249</v>
      </c>
      <c r="B251" t="s">
        <v>273</v>
      </c>
      <c r="C251" t="s">
        <v>77</v>
      </c>
      <c r="D251" t="s">
        <v>114</v>
      </c>
      <c r="E251" t="s">
        <v>39</v>
      </c>
      <c r="F251" t="s">
        <v>17</v>
      </c>
      <c r="H251" t="s">
        <v>117</v>
      </c>
      <c r="J251" t="s">
        <v>57</v>
      </c>
      <c r="K251" t="s">
        <v>50</v>
      </c>
      <c r="L251" t="s">
        <v>21</v>
      </c>
    </row>
    <row r="252" spans="1:12" x14ac:dyDescent="0.25">
      <c r="A252">
        <v>1250</v>
      </c>
      <c r="B252" t="s">
        <v>274</v>
      </c>
      <c r="C252" t="s">
        <v>77</v>
      </c>
      <c r="D252" t="s">
        <v>91</v>
      </c>
      <c r="E252" t="s">
        <v>44</v>
      </c>
      <c r="F252" t="s">
        <v>17</v>
      </c>
      <c r="G252">
        <v>1</v>
      </c>
      <c r="H252" t="s">
        <v>18</v>
      </c>
      <c r="J252" t="s">
        <v>19</v>
      </c>
      <c r="K252" t="s">
        <v>129</v>
      </c>
      <c r="L252" t="s">
        <v>29</v>
      </c>
    </row>
    <row r="253" spans="1:12" x14ac:dyDescent="0.25">
      <c r="A253">
        <v>1251</v>
      </c>
      <c r="B253" t="s">
        <v>275</v>
      </c>
      <c r="C253" t="s">
        <v>77</v>
      </c>
      <c r="D253" t="s">
        <v>114</v>
      </c>
      <c r="E253" t="s">
        <v>44</v>
      </c>
      <c r="F253" t="s">
        <v>17</v>
      </c>
      <c r="G253">
        <v>3</v>
      </c>
      <c r="H253" t="s">
        <v>18</v>
      </c>
      <c r="J253" t="s">
        <v>62</v>
      </c>
      <c r="K253" t="s">
        <v>20</v>
      </c>
      <c r="L253" t="s">
        <v>46</v>
      </c>
    </row>
    <row r="254" spans="1:12" x14ac:dyDescent="0.25">
      <c r="A254">
        <v>1252</v>
      </c>
      <c r="C254" t="s">
        <v>14</v>
      </c>
      <c r="D254" t="s">
        <v>84</v>
      </c>
      <c r="E254" t="s">
        <v>59</v>
      </c>
      <c r="F254" t="s">
        <v>60</v>
      </c>
      <c r="H254">
        <v>4.99</v>
      </c>
      <c r="J254" t="s">
        <v>54</v>
      </c>
      <c r="K254" t="s">
        <v>50</v>
      </c>
      <c r="L254" t="s">
        <v>46</v>
      </c>
    </row>
    <row r="255" spans="1:12" x14ac:dyDescent="0.25">
      <c r="A255">
        <v>1253</v>
      </c>
      <c r="C255" t="s">
        <v>70</v>
      </c>
      <c r="D255" t="s">
        <v>71</v>
      </c>
      <c r="E255" t="s">
        <v>44</v>
      </c>
      <c r="F255" t="s">
        <v>17</v>
      </c>
      <c r="G255">
        <v>4</v>
      </c>
      <c r="H255">
        <v>15.99</v>
      </c>
      <c r="J255" t="s">
        <v>57</v>
      </c>
      <c r="K255" t="s">
        <v>28</v>
      </c>
      <c r="L255" t="s">
        <v>40</v>
      </c>
    </row>
    <row r="256" spans="1:12" x14ac:dyDescent="0.25">
      <c r="A256">
        <v>1254</v>
      </c>
      <c r="B256" t="s">
        <v>276</v>
      </c>
      <c r="C256" t="s">
        <v>42</v>
      </c>
      <c r="D256" t="s">
        <v>43</v>
      </c>
      <c r="E256" t="s">
        <v>72</v>
      </c>
      <c r="F256" t="s">
        <v>73</v>
      </c>
      <c r="G256">
        <v>4</v>
      </c>
      <c r="H256">
        <v>49.99</v>
      </c>
      <c r="J256" t="s">
        <v>57</v>
      </c>
      <c r="K256" t="s">
        <v>129</v>
      </c>
      <c r="L256" t="s">
        <v>46</v>
      </c>
    </row>
    <row r="257" spans="1:12" x14ac:dyDescent="0.25">
      <c r="A257">
        <v>1255</v>
      </c>
      <c r="B257" t="s">
        <v>277</v>
      </c>
      <c r="C257" t="s">
        <v>65</v>
      </c>
      <c r="D257" t="s">
        <v>126</v>
      </c>
      <c r="E257" t="s">
        <v>44</v>
      </c>
      <c r="F257" t="s">
        <v>17</v>
      </c>
      <c r="H257">
        <v>15.99</v>
      </c>
      <c r="J257" t="s">
        <v>19</v>
      </c>
      <c r="K257" t="s">
        <v>129</v>
      </c>
      <c r="L257" t="s">
        <v>21</v>
      </c>
    </row>
    <row r="258" spans="1:12" x14ac:dyDescent="0.25">
      <c r="A258">
        <v>1256</v>
      </c>
      <c r="B258" t="s">
        <v>278</v>
      </c>
      <c r="D258" t="s">
        <v>152</v>
      </c>
      <c r="E258" t="s">
        <v>85</v>
      </c>
      <c r="F258" t="s">
        <v>26</v>
      </c>
      <c r="G258">
        <v>3</v>
      </c>
      <c r="H258" t="s">
        <v>86</v>
      </c>
      <c r="J258" t="s">
        <v>57</v>
      </c>
      <c r="K258" t="s">
        <v>68</v>
      </c>
      <c r="L258" t="s">
        <v>29</v>
      </c>
    </row>
    <row r="259" spans="1:12" x14ac:dyDescent="0.25">
      <c r="A259">
        <v>1257</v>
      </c>
      <c r="B259" t="s">
        <v>47</v>
      </c>
      <c r="C259" t="s">
        <v>65</v>
      </c>
      <c r="D259" t="s">
        <v>126</v>
      </c>
      <c r="E259" t="s">
        <v>25</v>
      </c>
      <c r="F259" t="s">
        <v>26</v>
      </c>
      <c r="H259">
        <v>99.99</v>
      </c>
      <c r="J259" t="s">
        <v>27</v>
      </c>
      <c r="K259" t="s">
        <v>50</v>
      </c>
      <c r="L259" t="s">
        <v>46</v>
      </c>
    </row>
    <row r="260" spans="1:12" x14ac:dyDescent="0.25">
      <c r="A260">
        <v>1258</v>
      </c>
      <c r="B260" t="s">
        <v>279</v>
      </c>
      <c r="C260" t="s">
        <v>77</v>
      </c>
      <c r="D260" t="s">
        <v>91</v>
      </c>
      <c r="E260" t="s">
        <v>67</v>
      </c>
      <c r="F260" t="s">
        <v>32</v>
      </c>
      <c r="G260">
        <v>2</v>
      </c>
      <c r="H260" t="s">
        <v>125</v>
      </c>
      <c r="J260" t="s">
        <v>57</v>
      </c>
      <c r="K260" t="s">
        <v>129</v>
      </c>
      <c r="L260" t="s">
        <v>21</v>
      </c>
    </row>
    <row r="261" spans="1:12" x14ac:dyDescent="0.25">
      <c r="A261">
        <v>1259</v>
      </c>
      <c r="C261" t="s">
        <v>37</v>
      </c>
      <c r="D261" t="s">
        <v>38</v>
      </c>
      <c r="E261" t="s">
        <v>59</v>
      </c>
      <c r="F261" t="s">
        <v>60</v>
      </c>
      <c r="G261">
        <v>3</v>
      </c>
      <c r="H261" t="s">
        <v>61</v>
      </c>
      <c r="J261" t="s">
        <v>62</v>
      </c>
      <c r="K261" t="s">
        <v>34</v>
      </c>
      <c r="L261" t="s">
        <v>46</v>
      </c>
    </row>
    <row r="262" spans="1:12" x14ac:dyDescent="0.25">
      <c r="A262">
        <v>1260</v>
      </c>
      <c r="B262" t="s">
        <v>280</v>
      </c>
      <c r="C262" t="s">
        <v>23</v>
      </c>
      <c r="D262" t="s">
        <v>24</v>
      </c>
      <c r="E262" t="s">
        <v>72</v>
      </c>
      <c r="F262" t="s">
        <v>73</v>
      </c>
      <c r="G262">
        <v>2</v>
      </c>
      <c r="H262">
        <v>49.99</v>
      </c>
      <c r="J262" t="s">
        <v>62</v>
      </c>
      <c r="K262" t="s">
        <v>68</v>
      </c>
      <c r="L262" t="s">
        <v>46</v>
      </c>
    </row>
    <row r="263" spans="1:12" x14ac:dyDescent="0.25">
      <c r="A263">
        <v>1261</v>
      </c>
      <c r="B263" t="s">
        <v>281</v>
      </c>
      <c r="C263" t="s">
        <v>77</v>
      </c>
      <c r="E263" t="s">
        <v>72</v>
      </c>
      <c r="F263" t="s">
        <v>73</v>
      </c>
      <c r="H263">
        <v>49.99</v>
      </c>
      <c r="J263" t="s">
        <v>27</v>
      </c>
      <c r="K263" t="s">
        <v>68</v>
      </c>
      <c r="L263" t="s">
        <v>35</v>
      </c>
    </row>
    <row r="264" spans="1:12" x14ac:dyDescent="0.25">
      <c r="A264">
        <v>1262</v>
      </c>
      <c r="B264" t="s">
        <v>147</v>
      </c>
      <c r="C264" t="s">
        <v>70</v>
      </c>
      <c r="D264" t="s">
        <v>71</v>
      </c>
      <c r="E264" t="s">
        <v>89</v>
      </c>
      <c r="F264" t="s">
        <v>17</v>
      </c>
      <c r="H264">
        <v>39.99</v>
      </c>
      <c r="J264" t="s">
        <v>54</v>
      </c>
      <c r="K264" t="s">
        <v>50</v>
      </c>
      <c r="L264" t="s">
        <v>40</v>
      </c>
    </row>
    <row r="265" spans="1:12" x14ac:dyDescent="0.25">
      <c r="A265">
        <v>1263</v>
      </c>
      <c r="B265" t="s">
        <v>282</v>
      </c>
      <c r="C265" t="s">
        <v>37</v>
      </c>
      <c r="D265" t="s">
        <v>38</v>
      </c>
      <c r="E265" t="s">
        <v>52</v>
      </c>
      <c r="F265" t="s">
        <v>53</v>
      </c>
      <c r="G265">
        <v>2</v>
      </c>
      <c r="H265">
        <v>59.99</v>
      </c>
      <c r="J265" t="s">
        <v>54</v>
      </c>
      <c r="K265" t="s">
        <v>50</v>
      </c>
      <c r="L265" t="s">
        <v>21</v>
      </c>
    </row>
    <row r="266" spans="1:12" x14ac:dyDescent="0.25">
      <c r="A266">
        <v>1264</v>
      </c>
      <c r="B266" t="s">
        <v>283</v>
      </c>
      <c r="C266" t="s">
        <v>70</v>
      </c>
      <c r="D266" t="s">
        <v>88</v>
      </c>
      <c r="E266" t="s">
        <v>44</v>
      </c>
      <c r="F266" t="s">
        <v>17</v>
      </c>
      <c r="G266">
        <v>4</v>
      </c>
      <c r="H266" t="s">
        <v>18</v>
      </c>
      <c r="J266" t="s">
        <v>33</v>
      </c>
      <c r="K266" t="s">
        <v>129</v>
      </c>
      <c r="L266" t="s">
        <v>40</v>
      </c>
    </row>
    <row r="267" spans="1:12" x14ac:dyDescent="0.25">
      <c r="A267">
        <v>1265</v>
      </c>
      <c r="C267" t="s">
        <v>77</v>
      </c>
      <c r="D267" t="s">
        <v>91</v>
      </c>
      <c r="E267" t="s">
        <v>92</v>
      </c>
      <c r="F267" t="s">
        <v>26</v>
      </c>
      <c r="G267">
        <v>4</v>
      </c>
      <c r="H267" t="s">
        <v>56</v>
      </c>
      <c r="J267" t="s">
        <v>33</v>
      </c>
      <c r="K267" t="s">
        <v>28</v>
      </c>
      <c r="L267" t="s">
        <v>46</v>
      </c>
    </row>
    <row r="268" spans="1:12" x14ac:dyDescent="0.25">
      <c r="A268">
        <v>1266</v>
      </c>
      <c r="C268" t="s">
        <v>23</v>
      </c>
      <c r="D268" t="s">
        <v>124</v>
      </c>
      <c r="E268" t="s">
        <v>92</v>
      </c>
      <c r="F268" t="s">
        <v>26</v>
      </c>
      <c r="H268">
        <v>14.99</v>
      </c>
      <c r="J268" t="s">
        <v>33</v>
      </c>
      <c r="K268" t="s">
        <v>45</v>
      </c>
      <c r="L268" t="s">
        <v>21</v>
      </c>
    </row>
    <row r="269" spans="1:12" x14ac:dyDescent="0.25">
      <c r="A269">
        <v>1267</v>
      </c>
      <c r="B269" t="s">
        <v>284</v>
      </c>
      <c r="C269" t="s">
        <v>37</v>
      </c>
      <c r="D269" t="s">
        <v>285</v>
      </c>
      <c r="E269" t="s">
        <v>127</v>
      </c>
      <c r="F269" t="s">
        <v>73</v>
      </c>
      <c r="G269">
        <v>-1</v>
      </c>
      <c r="H269">
        <v>29.99</v>
      </c>
      <c r="J269" t="s">
        <v>54</v>
      </c>
      <c r="K269" t="s">
        <v>129</v>
      </c>
      <c r="L269" t="s">
        <v>46</v>
      </c>
    </row>
    <row r="270" spans="1:12" x14ac:dyDescent="0.25">
      <c r="A270">
        <v>1268</v>
      </c>
      <c r="B270" t="s">
        <v>286</v>
      </c>
      <c r="D270" t="s">
        <v>114</v>
      </c>
      <c r="E270" t="s">
        <v>127</v>
      </c>
      <c r="F270" t="s">
        <v>73</v>
      </c>
      <c r="G270">
        <v>3</v>
      </c>
      <c r="H270">
        <v>29.99</v>
      </c>
      <c r="J270" t="s">
        <v>19</v>
      </c>
      <c r="K270" t="s">
        <v>45</v>
      </c>
      <c r="L270" t="s">
        <v>46</v>
      </c>
    </row>
    <row r="271" spans="1:12" x14ac:dyDescent="0.25">
      <c r="C271" t="s">
        <v>70</v>
      </c>
      <c r="D271" t="s">
        <v>71</v>
      </c>
      <c r="E271" t="s">
        <v>95</v>
      </c>
      <c r="F271" t="s">
        <v>73</v>
      </c>
      <c r="G271">
        <v>2</v>
      </c>
      <c r="H271">
        <v>29.99</v>
      </c>
      <c r="J271" t="s">
        <v>27</v>
      </c>
      <c r="K271" t="s">
        <v>45</v>
      </c>
      <c r="L271" t="s">
        <v>40</v>
      </c>
    </row>
    <row r="272" spans="1:12" x14ac:dyDescent="0.25">
      <c r="A272">
        <v>1270</v>
      </c>
      <c r="B272" t="s">
        <v>287</v>
      </c>
      <c r="C272" t="s">
        <v>77</v>
      </c>
      <c r="D272" t="s">
        <v>91</v>
      </c>
      <c r="E272" t="s">
        <v>212</v>
      </c>
      <c r="F272" t="s">
        <v>53</v>
      </c>
      <c r="G272">
        <v>5</v>
      </c>
      <c r="H272">
        <v>59.99</v>
      </c>
      <c r="J272" t="s">
        <v>54</v>
      </c>
      <c r="K272" t="s">
        <v>20</v>
      </c>
      <c r="L272" t="s">
        <v>35</v>
      </c>
    </row>
    <row r="273" spans="1:12" x14ac:dyDescent="0.25">
      <c r="A273">
        <v>1271</v>
      </c>
      <c r="B273" t="s">
        <v>288</v>
      </c>
      <c r="C273" t="s">
        <v>77</v>
      </c>
      <c r="D273" t="s">
        <v>114</v>
      </c>
      <c r="E273" t="s">
        <v>92</v>
      </c>
      <c r="F273" t="s">
        <v>26</v>
      </c>
      <c r="H273" t="s">
        <v>56</v>
      </c>
      <c r="J273" t="s">
        <v>33</v>
      </c>
      <c r="K273" t="s">
        <v>129</v>
      </c>
      <c r="L273" t="s">
        <v>46</v>
      </c>
    </row>
    <row r="274" spans="1:12" x14ac:dyDescent="0.25">
      <c r="A274">
        <v>1272</v>
      </c>
      <c r="B274" t="s">
        <v>289</v>
      </c>
      <c r="C274" t="s">
        <v>42</v>
      </c>
      <c r="D274" t="s">
        <v>48</v>
      </c>
      <c r="E274" t="s">
        <v>82</v>
      </c>
      <c r="F274" t="s">
        <v>60</v>
      </c>
      <c r="H274">
        <v>4.99</v>
      </c>
      <c r="J274" t="s">
        <v>27</v>
      </c>
      <c r="K274" t="s">
        <v>45</v>
      </c>
      <c r="L274" t="s">
        <v>29</v>
      </c>
    </row>
    <row r="275" spans="1:12" x14ac:dyDescent="0.25">
      <c r="A275">
        <v>1273</v>
      </c>
      <c r="B275" t="s">
        <v>290</v>
      </c>
      <c r="C275" t="s">
        <v>23</v>
      </c>
      <c r="D275" t="s">
        <v>24</v>
      </c>
      <c r="E275" t="s">
        <v>72</v>
      </c>
      <c r="F275" t="s">
        <v>73</v>
      </c>
      <c r="G275">
        <v>4</v>
      </c>
      <c r="H275">
        <v>49.99</v>
      </c>
      <c r="J275" t="s">
        <v>62</v>
      </c>
      <c r="K275" t="s">
        <v>34</v>
      </c>
      <c r="L275" t="s">
        <v>40</v>
      </c>
    </row>
    <row r="276" spans="1:12" x14ac:dyDescent="0.25">
      <c r="A276">
        <v>1274</v>
      </c>
      <c r="C276" t="s">
        <v>65</v>
      </c>
      <c r="D276" t="s">
        <v>126</v>
      </c>
      <c r="E276" t="s">
        <v>127</v>
      </c>
      <c r="F276" t="s">
        <v>73</v>
      </c>
      <c r="H276">
        <v>29.99</v>
      </c>
      <c r="J276" t="s">
        <v>27</v>
      </c>
      <c r="K276" t="s">
        <v>20</v>
      </c>
      <c r="L276" t="s">
        <v>40</v>
      </c>
    </row>
    <row r="277" spans="1:12" x14ac:dyDescent="0.25">
      <c r="A277">
        <v>1275</v>
      </c>
      <c r="B277" t="s">
        <v>291</v>
      </c>
      <c r="C277" t="s">
        <v>14</v>
      </c>
      <c r="D277" t="s">
        <v>15</v>
      </c>
      <c r="E277" t="s">
        <v>92</v>
      </c>
      <c r="F277" t="s">
        <v>26</v>
      </c>
      <c r="G277">
        <v>4</v>
      </c>
      <c r="H277">
        <v>14.99</v>
      </c>
      <c r="J277" t="s">
        <v>19</v>
      </c>
      <c r="K277" t="s">
        <v>68</v>
      </c>
      <c r="L277" t="s">
        <v>21</v>
      </c>
    </row>
    <row r="278" spans="1:12" x14ac:dyDescent="0.25">
      <c r="A278">
        <v>1276</v>
      </c>
      <c r="C278" t="s">
        <v>37</v>
      </c>
      <c r="D278" t="s">
        <v>38</v>
      </c>
      <c r="E278" t="s">
        <v>127</v>
      </c>
      <c r="F278" t="s">
        <v>73</v>
      </c>
      <c r="G278">
        <v>2</v>
      </c>
      <c r="H278">
        <v>29.99</v>
      </c>
      <c r="J278" t="s">
        <v>19</v>
      </c>
      <c r="K278" t="s">
        <v>28</v>
      </c>
      <c r="L278" t="s">
        <v>40</v>
      </c>
    </row>
    <row r="279" spans="1:12" x14ac:dyDescent="0.25">
      <c r="A279">
        <v>1277</v>
      </c>
      <c r="B279" t="s">
        <v>292</v>
      </c>
      <c r="C279" t="s">
        <v>23</v>
      </c>
      <c r="D279" t="s">
        <v>81</v>
      </c>
      <c r="E279" t="s">
        <v>85</v>
      </c>
      <c r="F279" t="s">
        <v>26</v>
      </c>
      <c r="G279">
        <v>-1</v>
      </c>
      <c r="H279">
        <v>99.99</v>
      </c>
      <c r="J279" t="s">
        <v>57</v>
      </c>
      <c r="K279" t="s">
        <v>34</v>
      </c>
      <c r="L279" t="s">
        <v>29</v>
      </c>
    </row>
    <row r="280" spans="1:12" x14ac:dyDescent="0.25">
      <c r="A280">
        <v>1278</v>
      </c>
      <c r="C280" t="s">
        <v>65</v>
      </c>
      <c r="D280" t="s">
        <v>123</v>
      </c>
      <c r="E280" t="s">
        <v>67</v>
      </c>
      <c r="F280" t="s">
        <v>32</v>
      </c>
      <c r="G280">
        <v>2</v>
      </c>
      <c r="H280">
        <v>79.989999999999995</v>
      </c>
      <c r="J280" t="s">
        <v>19</v>
      </c>
      <c r="K280" t="s">
        <v>34</v>
      </c>
      <c r="L280" t="s">
        <v>46</v>
      </c>
    </row>
    <row r="281" spans="1:12" x14ac:dyDescent="0.25">
      <c r="A281">
        <v>1279</v>
      </c>
      <c r="B281" t="s">
        <v>293</v>
      </c>
      <c r="C281" t="s">
        <v>70</v>
      </c>
      <c r="E281" t="s">
        <v>85</v>
      </c>
      <c r="F281" t="s">
        <v>26</v>
      </c>
      <c r="G281">
        <v>4</v>
      </c>
      <c r="H281">
        <v>99.99</v>
      </c>
      <c r="J281" t="s">
        <v>19</v>
      </c>
      <c r="K281" t="s">
        <v>55</v>
      </c>
      <c r="L281" t="s">
        <v>21</v>
      </c>
    </row>
    <row r="282" spans="1:12" x14ac:dyDescent="0.25">
      <c r="A282">
        <v>1280</v>
      </c>
      <c r="C282" t="s">
        <v>65</v>
      </c>
      <c r="D282" t="s">
        <v>126</v>
      </c>
      <c r="E282" t="s">
        <v>44</v>
      </c>
      <c r="F282" t="s">
        <v>17</v>
      </c>
      <c r="G282">
        <v>3</v>
      </c>
      <c r="H282">
        <v>15.99</v>
      </c>
      <c r="J282" t="s">
        <v>33</v>
      </c>
      <c r="K282" t="s">
        <v>68</v>
      </c>
      <c r="L282" t="s">
        <v>35</v>
      </c>
    </row>
    <row r="283" spans="1:12" x14ac:dyDescent="0.25">
      <c r="A283">
        <v>1281</v>
      </c>
      <c r="C283" t="s">
        <v>42</v>
      </c>
      <c r="D283" t="s">
        <v>116</v>
      </c>
      <c r="E283" t="s">
        <v>52</v>
      </c>
      <c r="F283" t="s">
        <v>53</v>
      </c>
      <c r="G283">
        <v>-1</v>
      </c>
      <c r="H283">
        <v>59.99</v>
      </c>
      <c r="J283" t="s">
        <v>62</v>
      </c>
      <c r="K283" t="s">
        <v>50</v>
      </c>
      <c r="L283" t="s">
        <v>40</v>
      </c>
    </row>
    <row r="284" spans="1:12" x14ac:dyDescent="0.25">
      <c r="A284">
        <v>1282</v>
      </c>
      <c r="B284" t="s">
        <v>294</v>
      </c>
      <c r="C284" t="s">
        <v>37</v>
      </c>
      <c r="D284" t="s">
        <v>169</v>
      </c>
      <c r="E284" t="s">
        <v>85</v>
      </c>
      <c r="F284" t="s">
        <v>26</v>
      </c>
      <c r="G284">
        <v>4</v>
      </c>
      <c r="H284" t="s">
        <v>86</v>
      </c>
      <c r="J284" t="s">
        <v>62</v>
      </c>
      <c r="K284" t="s">
        <v>50</v>
      </c>
      <c r="L284" t="s">
        <v>21</v>
      </c>
    </row>
    <row r="285" spans="1:12" x14ac:dyDescent="0.25">
      <c r="A285">
        <v>1283</v>
      </c>
      <c r="C285" t="s">
        <v>14</v>
      </c>
      <c r="D285" t="s">
        <v>75</v>
      </c>
      <c r="E285" t="s">
        <v>127</v>
      </c>
      <c r="F285" t="s">
        <v>73</v>
      </c>
      <c r="G285">
        <v>-1</v>
      </c>
      <c r="H285">
        <v>29.99</v>
      </c>
      <c r="J285" t="s">
        <v>19</v>
      </c>
      <c r="K285" t="s">
        <v>55</v>
      </c>
      <c r="L285" t="s">
        <v>29</v>
      </c>
    </row>
    <row r="286" spans="1:12" x14ac:dyDescent="0.25">
      <c r="A286">
        <v>1284</v>
      </c>
      <c r="C286" t="s">
        <v>70</v>
      </c>
      <c r="D286" t="s">
        <v>131</v>
      </c>
      <c r="E286" t="s">
        <v>39</v>
      </c>
      <c r="F286" t="s">
        <v>17</v>
      </c>
      <c r="G286">
        <v>2</v>
      </c>
      <c r="H286" t="s">
        <v>117</v>
      </c>
      <c r="J286" t="s">
        <v>54</v>
      </c>
      <c r="K286" t="s">
        <v>28</v>
      </c>
      <c r="L286" t="s">
        <v>40</v>
      </c>
    </row>
    <row r="287" spans="1:12" x14ac:dyDescent="0.25">
      <c r="A287">
        <v>1285</v>
      </c>
      <c r="B287" t="s">
        <v>295</v>
      </c>
      <c r="C287" t="s">
        <v>65</v>
      </c>
      <c r="D287" t="s">
        <v>123</v>
      </c>
      <c r="E287" t="s">
        <v>67</v>
      </c>
      <c r="F287" t="s">
        <v>32</v>
      </c>
      <c r="G287">
        <v>-1</v>
      </c>
      <c r="H287">
        <v>79.989999999999995</v>
      </c>
      <c r="J287" t="s">
        <v>19</v>
      </c>
      <c r="K287" t="s">
        <v>28</v>
      </c>
      <c r="L287" t="s">
        <v>35</v>
      </c>
    </row>
    <row r="288" spans="1:12" x14ac:dyDescent="0.25">
      <c r="A288">
        <v>1286</v>
      </c>
      <c r="B288" t="s">
        <v>296</v>
      </c>
      <c r="C288" t="s">
        <v>23</v>
      </c>
      <c r="D288" t="s">
        <v>24</v>
      </c>
      <c r="E288" t="s">
        <v>44</v>
      </c>
      <c r="F288" t="s">
        <v>17</v>
      </c>
      <c r="H288">
        <v>15.99</v>
      </c>
      <c r="J288" t="s">
        <v>27</v>
      </c>
      <c r="K288" t="s">
        <v>20</v>
      </c>
      <c r="L288" t="s">
        <v>21</v>
      </c>
    </row>
    <row r="289" spans="1:13" x14ac:dyDescent="0.25">
      <c r="A289">
        <v>1287</v>
      </c>
      <c r="B289" t="s">
        <v>297</v>
      </c>
      <c r="C289" t="s">
        <v>42</v>
      </c>
      <c r="D289" t="s">
        <v>116</v>
      </c>
      <c r="E289" t="s">
        <v>25</v>
      </c>
      <c r="F289" t="s">
        <v>26</v>
      </c>
      <c r="H289">
        <v>99.99</v>
      </c>
      <c r="J289" t="s">
        <v>57</v>
      </c>
      <c r="K289" t="s">
        <v>45</v>
      </c>
      <c r="L289" t="s">
        <v>40</v>
      </c>
    </row>
    <row r="290" spans="1:13" x14ac:dyDescent="0.25">
      <c r="A290">
        <v>1288</v>
      </c>
      <c r="B290" t="s">
        <v>298</v>
      </c>
      <c r="C290" t="s">
        <v>77</v>
      </c>
      <c r="D290" t="s">
        <v>78</v>
      </c>
      <c r="E290" t="s">
        <v>92</v>
      </c>
      <c r="F290" t="s">
        <v>26</v>
      </c>
      <c r="G290">
        <v>2</v>
      </c>
      <c r="H290" t="s">
        <v>56</v>
      </c>
      <c r="J290" t="s">
        <v>27</v>
      </c>
      <c r="K290" t="s">
        <v>20</v>
      </c>
      <c r="L290" t="s">
        <v>40</v>
      </c>
    </row>
    <row r="291" spans="1:13" x14ac:dyDescent="0.25">
      <c r="A291">
        <v>1289</v>
      </c>
      <c r="B291" t="s">
        <v>299</v>
      </c>
      <c r="C291" t="s">
        <v>42</v>
      </c>
      <c r="D291" t="s">
        <v>48</v>
      </c>
      <c r="E291" t="s">
        <v>44</v>
      </c>
      <c r="F291" t="s">
        <v>17</v>
      </c>
      <c r="H291">
        <v>15.99</v>
      </c>
      <c r="J291" t="s">
        <v>19</v>
      </c>
      <c r="K291" t="s">
        <v>34</v>
      </c>
      <c r="L291" t="s">
        <v>40</v>
      </c>
    </row>
    <row r="292" spans="1:13" x14ac:dyDescent="0.25">
      <c r="A292">
        <v>1290</v>
      </c>
      <c r="B292" t="s">
        <v>300</v>
      </c>
      <c r="C292" t="s">
        <v>77</v>
      </c>
      <c r="D292" t="s">
        <v>301</v>
      </c>
      <c r="E292" t="s">
        <v>44</v>
      </c>
      <c r="F292" t="s">
        <v>17</v>
      </c>
      <c r="G292">
        <v>2</v>
      </c>
      <c r="H292" t="s">
        <v>18</v>
      </c>
      <c r="J292" t="s">
        <v>54</v>
      </c>
      <c r="K292" t="s">
        <v>129</v>
      </c>
      <c r="L292" t="s">
        <v>46</v>
      </c>
    </row>
    <row r="293" spans="1:13" x14ac:dyDescent="0.25">
      <c r="A293">
        <v>1291</v>
      </c>
      <c r="B293" t="s">
        <v>302</v>
      </c>
      <c r="C293" t="s">
        <v>65</v>
      </c>
      <c r="D293" t="s">
        <v>66</v>
      </c>
      <c r="E293" t="s">
        <v>92</v>
      </c>
      <c r="F293" t="s">
        <v>26</v>
      </c>
      <c r="G293">
        <v>4</v>
      </c>
      <c r="H293">
        <v>14.99</v>
      </c>
      <c r="J293" t="s">
        <v>54</v>
      </c>
      <c r="K293" t="s">
        <v>34</v>
      </c>
      <c r="L293" t="s">
        <v>46</v>
      </c>
    </row>
    <row r="294" spans="1:13" x14ac:dyDescent="0.25">
      <c r="A294">
        <v>1292</v>
      </c>
      <c r="B294" t="s">
        <v>303</v>
      </c>
      <c r="C294" t="s">
        <v>42</v>
      </c>
      <c r="D294" t="s">
        <v>43</v>
      </c>
      <c r="E294" t="s">
        <v>95</v>
      </c>
      <c r="F294" t="s">
        <v>73</v>
      </c>
      <c r="G294">
        <v>-1</v>
      </c>
      <c r="H294" t="s">
        <v>137</v>
      </c>
      <c r="J294" t="s">
        <v>54</v>
      </c>
      <c r="K294" t="s">
        <v>50</v>
      </c>
      <c r="L294" t="s">
        <v>29</v>
      </c>
    </row>
    <row r="295" spans="1:13" x14ac:dyDescent="0.25">
      <c r="A295">
        <v>1293</v>
      </c>
      <c r="B295" t="s">
        <v>190</v>
      </c>
      <c r="C295" t="s">
        <v>23</v>
      </c>
      <c r="D295" t="s">
        <v>124</v>
      </c>
      <c r="E295" t="s">
        <v>31</v>
      </c>
      <c r="F295" t="s">
        <v>32</v>
      </c>
      <c r="H295" t="s">
        <v>125</v>
      </c>
      <c r="J295" t="s">
        <v>27</v>
      </c>
      <c r="K295" t="s">
        <v>50</v>
      </c>
      <c r="L295" t="s">
        <v>35</v>
      </c>
      <c r="M295" t="s">
        <v>63</v>
      </c>
    </row>
    <row r="296" spans="1:13" x14ac:dyDescent="0.25">
      <c r="A296">
        <v>1294</v>
      </c>
      <c r="B296" t="s">
        <v>244</v>
      </c>
      <c r="C296" t="s">
        <v>23</v>
      </c>
      <c r="D296" t="s">
        <v>124</v>
      </c>
      <c r="E296" t="s">
        <v>39</v>
      </c>
      <c r="F296" t="s">
        <v>17</v>
      </c>
      <c r="G296">
        <v>4</v>
      </c>
      <c r="H296">
        <v>39.99</v>
      </c>
      <c r="J296" t="s">
        <v>27</v>
      </c>
      <c r="K296" t="s">
        <v>28</v>
      </c>
      <c r="L296" t="s">
        <v>21</v>
      </c>
    </row>
    <row r="297" spans="1:13" x14ac:dyDescent="0.25">
      <c r="A297">
        <v>1295</v>
      </c>
      <c r="B297" t="s">
        <v>304</v>
      </c>
      <c r="C297" t="s">
        <v>37</v>
      </c>
      <c r="D297" t="s">
        <v>38</v>
      </c>
      <c r="E297" t="s">
        <v>44</v>
      </c>
      <c r="F297" t="s">
        <v>17</v>
      </c>
      <c r="H297">
        <v>15.99</v>
      </c>
      <c r="J297" t="s">
        <v>57</v>
      </c>
      <c r="K297" t="s">
        <v>129</v>
      </c>
      <c r="L297" t="s">
        <v>46</v>
      </c>
      <c r="M297" t="s">
        <v>63</v>
      </c>
    </row>
    <row r="298" spans="1:13" x14ac:dyDescent="0.25">
      <c r="A298">
        <v>1296</v>
      </c>
      <c r="B298" t="s">
        <v>305</v>
      </c>
      <c r="C298" t="s">
        <v>23</v>
      </c>
      <c r="D298" t="s">
        <v>24</v>
      </c>
      <c r="E298" t="s">
        <v>72</v>
      </c>
      <c r="F298" t="s">
        <v>73</v>
      </c>
      <c r="G298">
        <v>1</v>
      </c>
      <c r="H298">
        <v>49.99</v>
      </c>
      <c r="J298" t="s">
        <v>62</v>
      </c>
      <c r="K298" t="s">
        <v>50</v>
      </c>
      <c r="L298" t="s">
        <v>46</v>
      </c>
    </row>
    <row r="299" spans="1:13" x14ac:dyDescent="0.25">
      <c r="A299">
        <v>1297</v>
      </c>
      <c r="C299" t="s">
        <v>70</v>
      </c>
      <c r="D299" t="s">
        <v>306</v>
      </c>
      <c r="E299" t="s">
        <v>31</v>
      </c>
      <c r="F299" t="s">
        <v>32</v>
      </c>
      <c r="G299">
        <v>4</v>
      </c>
      <c r="H299" t="s">
        <v>125</v>
      </c>
      <c r="J299" t="s">
        <v>19</v>
      </c>
      <c r="K299" t="s">
        <v>50</v>
      </c>
      <c r="L299" t="s">
        <v>46</v>
      </c>
    </row>
    <row r="300" spans="1:13" x14ac:dyDescent="0.25">
      <c r="A300">
        <v>1298</v>
      </c>
      <c r="B300" t="s">
        <v>307</v>
      </c>
      <c r="C300" t="s">
        <v>77</v>
      </c>
      <c r="D300" t="s">
        <v>91</v>
      </c>
      <c r="E300" t="s">
        <v>95</v>
      </c>
      <c r="F300" t="s">
        <v>73</v>
      </c>
      <c r="G300">
        <v>2</v>
      </c>
      <c r="H300">
        <v>29.99</v>
      </c>
      <c r="J300" t="s">
        <v>27</v>
      </c>
      <c r="K300" t="s">
        <v>55</v>
      </c>
      <c r="L300" t="s">
        <v>46</v>
      </c>
    </row>
    <row r="301" spans="1:13" x14ac:dyDescent="0.25">
      <c r="A301">
        <v>1299</v>
      </c>
      <c r="C301" t="s">
        <v>77</v>
      </c>
      <c r="D301" t="s">
        <v>114</v>
      </c>
      <c r="E301" t="s">
        <v>52</v>
      </c>
      <c r="F301" t="s">
        <v>53</v>
      </c>
      <c r="G301">
        <v>5</v>
      </c>
      <c r="H301" t="s">
        <v>97</v>
      </c>
      <c r="J301" t="s">
        <v>33</v>
      </c>
      <c r="K301" t="s">
        <v>50</v>
      </c>
      <c r="L301" t="s">
        <v>40</v>
      </c>
    </row>
    <row r="302" spans="1:13" x14ac:dyDescent="0.25">
      <c r="A302">
        <v>1300</v>
      </c>
      <c r="B302" t="s">
        <v>308</v>
      </c>
      <c r="C302" t="s">
        <v>65</v>
      </c>
      <c r="E302" t="s">
        <v>85</v>
      </c>
      <c r="F302" t="s">
        <v>26</v>
      </c>
      <c r="H302">
        <v>99.99</v>
      </c>
      <c r="J302" t="s">
        <v>54</v>
      </c>
      <c r="K302" t="s">
        <v>34</v>
      </c>
      <c r="L302" t="s">
        <v>40</v>
      </c>
    </row>
    <row r="303" spans="1:13" x14ac:dyDescent="0.25">
      <c r="A303">
        <v>1301</v>
      </c>
      <c r="C303" t="s">
        <v>37</v>
      </c>
      <c r="D303" t="s">
        <v>309</v>
      </c>
      <c r="E303" t="s">
        <v>31</v>
      </c>
      <c r="F303" t="s">
        <v>32</v>
      </c>
      <c r="G303">
        <v>3</v>
      </c>
      <c r="H303">
        <v>79.989999999999995</v>
      </c>
      <c r="J303" t="s">
        <v>19</v>
      </c>
      <c r="K303" t="s">
        <v>34</v>
      </c>
      <c r="L303" t="s">
        <v>46</v>
      </c>
    </row>
    <row r="304" spans="1:13" x14ac:dyDescent="0.25">
      <c r="A304">
        <v>1302</v>
      </c>
      <c r="C304" t="s">
        <v>42</v>
      </c>
      <c r="D304" t="s">
        <v>116</v>
      </c>
      <c r="E304" t="s">
        <v>89</v>
      </c>
      <c r="F304" t="s">
        <v>17</v>
      </c>
      <c r="H304" t="s">
        <v>117</v>
      </c>
      <c r="J304" t="s">
        <v>57</v>
      </c>
      <c r="K304" t="s">
        <v>45</v>
      </c>
      <c r="L304" t="s">
        <v>46</v>
      </c>
    </row>
    <row r="305" spans="1:12" x14ac:dyDescent="0.25">
      <c r="A305">
        <v>1303</v>
      </c>
      <c r="B305" t="s">
        <v>310</v>
      </c>
      <c r="C305" t="s">
        <v>70</v>
      </c>
      <c r="E305" t="s">
        <v>127</v>
      </c>
      <c r="F305" t="s">
        <v>73</v>
      </c>
      <c r="G305">
        <v>4</v>
      </c>
      <c r="H305" t="s">
        <v>137</v>
      </c>
      <c r="J305" t="s">
        <v>62</v>
      </c>
      <c r="K305" t="s">
        <v>34</v>
      </c>
      <c r="L305" t="s">
        <v>21</v>
      </c>
    </row>
    <row r="306" spans="1:12" x14ac:dyDescent="0.25">
      <c r="A306">
        <v>1304</v>
      </c>
      <c r="B306" t="s">
        <v>311</v>
      </c>
      <c r="C306" t="s">
        <v>77</v>
      </c>
      <c r="D306" t="s">
        <v>103</v>
      </c>
      <c r="E306" t="s">
        <v>44</v>
      </c>
      <c r="F306" t="s">
        <v>17</v>
      </c>
      <c r="H306" t="s">
        <v>18</v>
      </c>
      <c r="J306" t="s">
        <v>54</v>
      </c>
      <c r="K306" t="s">
        <v>20</v>
      </c>
      <c r="L306" t="s">
        <v>40</v>
      </c>
    </row>
    <row r="307" spans="1:12" x14ac:dyDescent="0.25">
      <c r="A307">
        <v>1305</v>
      </c>
      <c r="C307" t="s">
        <v>42</v>
      </c>
      <c r="D307" t="s">
        <v>43</v>
      </c>
      <c r="E307" t="s">
        <v>82</v>
      </c>
      <c r="F307" t="s">
        <v>60</v>
      </c>
      <c r="H307">
        <v>4.99</v>
      </c>
      <c r="J307" t="s">
        <v>27</v>
      </c>
      <c r="K307" t="s">
        <v>45</v>
      </c>
      <c r="L307" t="s">
        <v>35</v>
      </c>
    </row>
    <row r="308" spans="1:12" x14ac:dyDescent="0.25">
      <c r="C308" t="s">
        <v>23</v>
      </c>
      <c r="D308" t="s">
        <v>24</v>
      </c>
      <c r="E308" t="s">
        <v>127</v>
      </c>
      <c r="F308" t="s">
        <v>73</v>
      </c>
      <c r="H308">
        <v>29.99</v>
      </c>
      <c r="J308" t="s">
        <v>62</v>
      </c>
      <c r="K308" t="s">
        <v>129</v>
      </c>
      <c r="L308" t="s">
        <v>40</v>
      </c>
    </row>
    <row r="309" spans="1:12" x14ac:dyDescent="0.25">
      <c r="A309">
        <v>1307</v>
      </c>
      <c r="B309" t="s">
        <v>312</v>
      </c>
      <c r="C309" t="s">
        <v>77</v>
      </c>
      <c r="D309" t="s">
        <v>114</v>
      </c>
      <c r="E309" t="s">
        <v>89</v>
      </c>
      <c r="F309" t="s">
        <v>17</v>
      </c>
      <c r="G309">
        <v>5</v>
      </c>
      <c r="H309" t="s">
        <v>117</v>
      </c>
      <c r="J309" t="s">
        <v>54</v>
      </c>
      <c r="K309" t="s">
        <v>50</v>
      </c>
      <c r="L309" t="s">
        <v>46</v>
      </c>
    </row>
    <row r="310" spans="1:12" x14ac:dyDescent="0.25">
      <c r="A310">
        <v>1308</v>
      </c>
      <c r="B310" t="s">
        <v>313</v>
      </c>
      <c r="C310" t="s">
        <v>23</v>
      </c>
      <c r="D310" t="s">
        <v>124</v>
      </c>
      <c r="E310" t="s">
        <v>72</v>
      </c>
      <c r="F310" t="s">
        <v>73</v>
      </c>
      <c r="G310">
        <v>2</v>
      </c>
      <c r="H310">
        <v>49.99</v>
      </c>
      <c r="J310" t="s">
        <v>62</v>
      </c>
      <c r="K310" t="s">
        <v>55</v>
      </c>
      <c r="L310" t="s">
        <v>29</v>
      </c>
    </row>
    <row r="311" spans="1:12" x14ac:dyDescent="0.25">
      <c r="A311">
        <v>1309</v>
      </c>
      <c r="B311" t="s">
        <v>314</v>
      </c>
      <c r="C311" t="s">
        <v>37</v>
      </c>
      <c r="D311" t="s">
        <v>169</v>
      </c>
      <c r="E311" t="s">
        <v>31</v>
      </c>
      <c r="F311" t="s">
        <v>32</v>
      </c>
      <c r="G311">
        <v>4</v>
      </c>
      <c r="H311">
        <v>79.989999999999995</v>
      </c>
      <c r="J311" t="s">
        <v>57</v>
      </c>
      <c r="K311" t="s">
        <v>55</v>
      </c>
      <c r="L311" t="s">
        <v>21</v>
      </c>
    </row>
    <row r="312" spans="1:12" x14ac:dyDescent="0.25">
      <c r="A312">
        <v>1310</v>
      </c>
      <c r="C312" t="s">
        <v>23</v>
      </c>
      <c r="D312" t="s">
        <v>124</v>
      </c>
      <c r="E312" t="s">
        <v>39</v>
      </c>
      <c r="F312" t="s">
        <v>17</v>
      </c>
      <c r="G312">
        <v>5</v>
      </c>
      <c r="H312" t="s">
        <v>117</v>
      </c>
      <c r="J312" t="s">
        <v>33</v>
      </c>
      <c r="K312" t="s">
        <v>20</v>
      </c>
      <c r="L312" t="s">
        <v>46</v>
      </c>
    </row>
    <row r="313" spans="1:12" x14ac:dyDescent="0.25">
      <c r="A313">
        <v>1311</v>
      </c>
      <c r="B313" t="s">
        <v>315</v>
      </c>
      <c r="C313" t="s">
        <v>37</v>
      </c>
      <c r="D313" t="s">
        <v>162</v>
      </c>
      <c r="E313" t="s">
        <v>44</v>
      </c>
      <c r="F313" t="s">
        <v>17</v>
      </c>
      <c r="G313">
        <v>1</v>
      </c>
      <c r="H313" t="s">
        <v>18</v>
      </c>
      <c r="J313" t="s">
        <v>62</v>
      </c>
      <c r="K313" t="s">
        <v>68</v>
      </c>
      <c r="L313" t="s">
        <v>46</v>
      </c>
    </row>
    <row r="314" spans="1:12" x14ac:dyDescent="0.25">
      <c r="A314">
        <v>1312</v>
      </c>
      <c r="B314" t="s">
        <v>316</v>
      </c>
      <c r="C314" t="s">
        <v>23</v>
      </c>
      <c r="D314" t="s">
        <v>24</v>
      </c>
      <c r="E314" t="s">
        <v>39</v>
      </c>
      <c r="F314" t="s">
        <v>17</v>
      </c>
      <c r="G314">
        <v>-1</v>
      </c>
      <c r="H314">
        <v>39.99</v>
      </c>
      <c r="J314" t="s">
        <v>19</v>
      </c>
      <c r="K314" t="s">
        <v>129</v>
      </c>
      <c r="L314" t="s">
        <v>40</v>
      </c>
    </row>
    <row r="315" spans="1:12" x14ac:dyDescent="0.25">
      <c r="A315">
        <v>1313</v>
      </c>
      <c r="B315" t="s">
        <v>186</v>
      </c>
      <c r="C315" t="s">
        <v>23</v>
      </c>
      <c r="D315" t="s">
        <v>24</v>
      </c>
      <c r="E315" t="s">
        <v>85</v>
      </c>
      <c r="F315" t="s">
        <v>26</v>
      </c>
      <c r="G315">
        <v>2</v>
      </c>
      <c r="H315" t="s">
        <v>86</v>
      </c>
      <c r="J315" t="s">
        <v>57</v>
      </c>
      <c r="K315" t="s">
        <v>34</v>
      </c>
      <c r="L315" t="s">
        <v>40</v>
      </c>
    </row>
    <row r="316" spans="1:12" x14ac:dyDescent="0.25">
      <c r="A316">
        <v>1314</v>
      </c>
      <c r="C316" t="s">
        <v>42</v>
      </c>
      <c r="D316" t="s">
        <v>116</v>
      </c>
      <c r="E316" t="s">
        <v>92</v>
      </c>
      <c r="F316" t="s">
        <v>26</v>
      </c>
      <c r="G316">
        <v>3</v>
      </c>
      <c r="H316">
        <v>14.99</v>
      </c>
      <c r="J316" t="s">
        <v>54</v>
      </c>
      <c r="K316" t="s">
        <v>55</v>
      </c>
      <c r="L316" t="s">
        <v>35</v>
      </c>
    </row>
    <row r="317" spans="1:12" x14ac:dyDescent="0.25">
      <c r="A317">
        <v>1315</v>
      </c>
      <c r="B317" t="s">
        <v>317</v>
      </c>
      <c r="C317" t="s">
        <v>70</v>
      </c>
      <c r="D317" t="s">
        <v>71</v>
      </c>
      <c r="E317" t="s">
        <v>127</v>
      </c>
      <c r="F317" t="s">
        <v>73</v>
      </c>
      <c r="G317">
        <v>4</v>
      </c>
      <c r="H317" t="s">
        <v>137</v>
      </c>
      <c r="J317" t="s">
        <v>54</v>
      </c>
      <c r="K317" t="s">
        <v>34</v>
      </c>
      <c r="L317" t="s">
        <v>46</v>
      </c>
    </row>
    <row r="318" spans="1:12" x14ac:dyDescent="0.25">
      <c r="A318">
        <v>1316</v>
      </c>
      <c r="B318" t="s">
        <v>318</v>
      </c>
      <c r="C318" t="s">
        <v>70</v>
      </c>
      <c r="D318" t="s">
        <v>71</v>
      </c>
      <c r="E318" t="s">
        <v>25</v>
      </c>
      <c r="F318" t="s">
        <v>26</v>
      </c>
      <c r="H318">
        <v>99.99</v>
      </c>
      <c r="J318" t="s">
        <v>57</v>
      </c>
      <c r="K318" t="s">
        <v>45</v>
      </c>
      <c r="L318" t="s">
        <v>29</v>
      </c>
    </row>
    <row r="319" spans="1:12" x14ac:dyDescent="0.25">
      <c r="A319">
        <v>1317</v>
      </c>
      <c r="C319" t="s">
        <v>42</v>
      </c>
      <c r="D319" t="s">
        <v>106</v>
      </c>
      <c r="E319" t="s">
        <v>39</v>
      </c>
      <c r="F319" t="s">
        <v>17</v>
      </c>
      <c r="G319">
        <v>1</v>
      </c>
      <c r="H319" t="s">
        <v>117</v>
      </c>
      <c r="J319" t="s">
        <v>33</v>
      </c>
      <c r="K319" t="s">
        <v>68</v>
      </c>
      <c r="L319" t="s">
        <v>35</v>
      </c>
    </row>
    <row r="320" spans="1:12" x14ac:dyDescent="0.25">
      <c r="A320">
        <v>1318</v>
      </c>
      <c r="B320" t="s">
        <v>263</v>
      </c>
      <c r="C320" t="s">
        <v>70</v>
      </c>
      <c r="D320" t="s">
        <v>131</v>
      </c>
      <c r="E320" t="s">
        <v>72</v>
      </c>
      <c r="F320" t="s">
        <v>73</v>
      </c>
      <c r="H320">
        <v>49.99</v>
      </c>
      <c r="J320" t="s">
        <v>62</v>
      </c>
      <c r="K320" t="s">
        <v>34</v>
      </c>
      <c r="L320" t="s">
        <v>21</v>
      </c>
    </row>
    <row r="321" spans="1:13" x14ac:dyDescent="0.25">
      <c r="A321">
        <v>1319</v>
      </c>
      <c r="B321" t="s">
        <v>153</v>
      </c>
      <c r="C321" t="s">
        <v>65</v>
      </c>
      <c r="D321" t="s">
        <v>123</v>
      </c>
      <c r="E321" t="s">
        <v>82</v>
      </c>
      <c r="F321" t="s">
        <v>60</v>
      </c>
      <c r="G321">
        <v>3</v>
      </c>
      <c r="H321">
        <v>4.99</v>
      </c>
      <c r="J321" t="s">
        <v>33</v>
      </c>
      <c r="K321" t="s">
        <v>55</v>
      </c>
      <c r="L321" t="s">
        <v>46</v>
      </c>
      <c r="M321" t="s">
        <v>63</v>
      </c>
    </row>
    <row r="322" spans="1:13" x14ac:dyDescent="0.25">
      <c r="A322">
        <v>1320</v>
      </c>
      <c r="B322" t="s">
        <v>319</v>
      </c>
      <c r="C322" t="s">
        <v>70</v>
      </c>
      <c r="D322" t="s">
        <v>71</v>
      </c>
      <c r="E322" t="s">
        <v>82</v>
      </c>
      <c r="F322" t="s">
        <v>60</v>
      </c>
      <c r="G322">
        <v>3</v>
      </c>
      <c r="H322">
        <v>4.99</v>
      </c>
      <c r="J322" t="s">
        <v>54</v>
      </c>
      <c r="K322" t="s">
        <v>34</v>
      </c>
      <c r="L322" t="s">
        <v>40</v>
      </c>
    </row>
    <row r="323" spans="1:13" x14ac:dyDescent="0.25">
      <c r="A323">
        <v>1321</v>
      </c>
      <c r="B323" t="s">
        <v>320</v>
      </c>
      <c r="C323" t="s">
        <v>42</v>
      </c>
      <c r="D323" t="s">
        <v>43</v>
      </c>
      <c r="E323" t="s">
        <v>89</v>
      </c>
      <c r="F323" t="s">
        <v>17</v>
      </c>
      <c r="H323" t="s">
        <v>117</v>
      </c>
      <c r="J323" t="s">
        <v>54</v>
      </c>
      <c r="K323" t="s">
        <v>55</v>
      </c>
      <c r="L323" t="s">
        <v>29</v>
      </c>
    </row>
    <row r="324" spans="1:13" x14ac:dyDescent="0.25">
      <c r="A324">
        <v>1322</v>
      </c>
      <c r="B324" t="s">
        <v>321</v>
      </c>
      <c r="C324" t="s">
        <v>14</v>
      </c>
      <c r="D324" t="s">
        <v>15</v>
      </c>
      <c r="E324" t="s">
        <v>92</v>
      </c>
      <c r="F324" t="s">
        <v>26</v>
      </c>
      <c r="G324">
        <v>-1</v>
      </c>
      <c r="H324">
        <v>14.99</v>
      </c>
      <c r="J324" t="s">
        <v>27</v>
      </c>
      <c r="K324" t="s">
        <v>129</v>
      </c>
      <c r="L324" t="s">
        <v>29</v>
      </c>
    </row>
    <row r="325" spans="1:13" x14ac:dyDescent="0.25">
      <c r="A325">
        <v>1323</v>
      </c>
      <c r="C325" t="s">
        <v>14</v>
      </c>
      <c r="D325" t="s">
        <v>322</v>
      </c>
      <c r="E325" t="s">
        <v>85</v>
      </c>
      <c r="F325" t="s">
        <v>26</v>
      </c>
      <c r="G325">
        <v>5</v>
      </c>
      <c r="H325" t="s">
        <v>86</v>
      </c>
      <c r="J325" t="s">
        <v>33</v>
      </c>
      <c r="K325" t="s">
        <v>55</v>
      </c>
      <c r="L325" t="s">
        <v>46</v>
      </c>
    </row>
    <row r="326" spans="1:13" x14ac:dyDescent="0.25">
      <c r="A326">
        <v>1324</v>
      </c>
      <c r="B326" t="s">
        <v>323</v>
      </c>
      <c r="D326" t="s">
        <v>24</v>
      </c>
      <c r="E326" t="s">
        <v>16</v>
      </c>
      <c r="F326" t="s">
        <v>17</v>
      </c>
      <c r="G326">
        <v>2</v>
      </c>
      <c r="H326">
        <v>15.99</v>
      </c>
      <c r="J326" t="s">
        <v>57</v>
      </c>
      <c r="K326" t="s">
        <v>129</v>
      </c>
      <c r="L326" t="s">
        <v>46</v>
      </c>
    </row>
    <row r="327" spans="1:13" x14ac:dyDescent="0.25">
      <c r="A327">
        <v>1325</v>
      </c>
      <c r="B327" t="s">
        <v>324</v>
      </c>
      <c r="C327" t="s">
        <v>37</v>
      </c>
      <c r="D327" t="s">
        <v>169</v>
      </c>
      <c r="E327" t="s">
        <v>39</v>
      </c>
      <c r="F327" t="s">
        <v>17</v>
      </c>
      <c r="G327">
        <v>4</v>
      </c>
      <c r="H327">
        <v>39.99</v>
      </c>
      <c r="J327" t="s">
        <v>19</v>
      </c>
      <c r="K327" t="s">
        <v>129</v>
      </c>
      <c r="L327" t="s">
        <v>40</v>
      </c>
    </row>
    <row r="328" spans="1:13" x14ac:dyDescent="0.25">
      <c r="A328">
        <v>1326</v>
      </c>
      <c r="B328" t="s">
        <v>325</v>
      </c>
      <c r="C328" t="s">
        <v>42</v>
      </c>
      <c r="D328" t="s">
        <v>48</v>
      </c>
      <c r="E328" t="s">
        <v>39</v>
      </c>
      <c r="F328" t="s">
        <v>17</v>
      </c>
      <c r="H328">
        <v>39.99</v>
      </c>
      <c r="J328" t="s">
        <v>33</v>
      </c>
      <c r="K328" t="s">
        <v>50</v>
      </c>
      <c r="L328" t="s">
        <v>21</v>
      </c>
    </row>
    <row r="329" spans="1:13" x14ac:dyDescent="0.25">
      <c r="A329">
        <v>1327</v>
      </c>
      <c r="B329" t="s">
        <v>326</v>
      </c>
      <c r="C329" t="s">
        <v>70</v>
      </c>
      <c r="E329" t="s">
        <v>44</v>
      </c>
      <c r="F329" t="s">
        <v>17</v>
      </c>
      <c r="G329">
        <v>-1</v>
      </c>
      <c r="H329">
        <v>15.99</v>
      </c>
      <c r="J329" t="s">
        <v>27</v>
      </c>
      <c r="K329" t="s">
        <v>50</v>
      </c>
      <c r="L329" t="s">
        <v>40</v>
      </c>
    </row>
    <row r="330" spans="1:13" x14ac:dyDescent="0.25">
      <c r="A330">
        <v>1328</v>
      </c>
      <c r="B330" t="s">
        <v>327</v>
      </c>
      <c r="C330" t="s">
        <v>23</v>
      </c>
      <c r="D330" t="s">
        <v>124</v>
      </c>
      <c r="E330" t="s">
        <v>72</v>
      </c>
      <c r="F330" t="s">
        <v>73</v>
      </c>
      <c r="G330">
        <v>3</v>
      </c>
      <c r="H330">
        <v>49.99</v>
      </c>
      <c r="J330" t="s">
        <v>57</v>
      </c>
      <c r="K330" t="s">
        <v>20</v>
      </c>
      <c r="L330" t="s">
        <v>35</v>
      </c>
    </row>
    <row r="331" spans="1:13" x14ac:dyDescent="0.25">
      <c r="A331">
        <v>1329</v>
      </c>
      <c r="B331" t="s">
        <v>328</v>
      </c>
      <c r="C331" t="s">
        <v>65</v>
      </c>
      <c r="D331" t="s">
        <v>123</v>
      </c>
      <c r="E331" t="s">
        <v>95</v>
      </c>
      <c r="F331" t="s">
        <v>73</v>
      </c>
      <c r="G331">
        <v>4</v>
      </c>
      <c r="H331">
        <v>29.99</v>
      </c>
      <c r="J331" t="s">
        <v>27</v>
      </c>
      <c r="K331" t="s">
        <v>45</v>
      </c>
      <c r="L331" t="s">
        <v>46</v>
      </c>
    </row>
    <row r="332" spans="1:13" x14ac:dyDescent="0.25">
      <c r="A332">
        <v>1330</v>
      </c>
      <c r="B332" t="s">
        <v>329</v>
      </c>
      <c r="C332" t="s">
        <v>42</v>
      </c>
      <c r="D332" t="s">
        <v>116</v>
      </c>
      <c r="E332" t="s">
        <v>85</v>
      </c>
      <c r="F332" t="s">
        <v>26</v>
      </c>
      <c r="G332">
        <v>3</v>
      </c>
      <c r="H332">
        <v>99.99</v>
      </c>
      <c r="J332" t="s">
        <v>57</v>
      </c>
      <c r="K332" t="s">
        <v>55</v>
      </c>
      <c r="L332" t="s">
        <v>21</v>
      </c>
    </row>
    <row r="333" spans="1:13" x14ac:dyDescent="0.25">
      <c r="A333">
        <v>1331</v>
      </c>
      <c r="B333" t="s">
        <v>330</v>
      </c>
      <c r="C333" t="s">
        <v>14</v>
      </c>
      <c r="E333" t="s">
        <v>95</v>
      </c>
      <c r="F333" t="s">
        <v>73</v>
      </c>
      <c r="G333">
        <v>3</v>
      </c>
      <c r="H333">
        <v>29.99</v>
      </c>
      <c r="J333" t="s">
        <v>62</v>
      </c>
      <c r="K333" t="s">
        <v>55</v>
      </c>
      <c r="L333" t="s">
        <v>35</v>
      </c>
    </row>
    <row r="334" spans="1:13" x14ac:dyDescent="0.25">
      <c r="A334">
        <v>1332</v>
      </c>
      <c r="B334" t="s">
        <v>331</v>
      </c>
      <c r="C334" t="s">
        <v>77</v>
      </c>
      <c r="D334" t="s">
        <v>91</v>
      </c>
      <c r="E334" t="s">
        <v>127</v>
      </c>
      <c r="F334" t="s">
        <v>73</v>
      </c>
      <c r="G334">
        <v>2</v>
      </c>
      <c r="H334">
        <v>29.99</v>
      </c>
      <c r="J334" t="s">
        <v>54</v>
      </c>
      <c r="K334" t="s">
        <v>34</v>
      </c>
      <c r="L334" t="s">
        <v>21</v>
      </c>
    </row>
    <row r="335" spans="1:13" x14ac:dyDescent="0.25">
      <c r="A335">
        <v>1333</v>
      </c>
      <c r="B335" t="s">
        <v>332</v>
      </c>
      <c r="C335" t="s">
        <v>23</v>
      </c>
      <c r="D335" t="s">
        <v>81</v>
      </c>
      <c r="E335" t="s">
        <v>92</v>
      </c>
      <c r="F335" t="s">
        <v>26</v>
      </c>
      <c r="H335">
        <v>14.99</v>
      </c>
      <c r="J335" t="s">
        <v>19</v>
      </c>
      <c r="K335" t="s">
        <v>28</v>
      </c>
      <c r="L335" t="s">
        <v>29</v>
      </c>
    </row>
    <row r="336" spans="1:13" x14ac:dyDescent="0.25">
      <c r="A336">
        <v>1334</v>
      </c>
      <c r="B336" t="s">
        <v>333</v>
      </c>
      <c r="C336" t="s">
        <v>23</v>
      </c>
      <c r="D336" t="s">
        <v>81</v>
      </c>
      <c r="E336" t="s">
        <v>72</v>
      </c>
      <c r="F336" t="s">
        <v>73</v>
      </c>
      <c r="H336">
        <v>49.99</v>
      </c>
      <c r="J336" t="s">
        <v>27</v>
      </c>
      <c r="K336" t="s">
        <v>129</v>
      </c>
      <c r="L336" t="s">
        <v>40</v>
      </c>
    </row>
    <row r="337" spans="1:12" x14ac:dyDescent="0.25">
      <c r="A337">
        <v>1335</v>
      </c>
      <c r="B337" t="s">
        <v>334</v>
      </c>
      <c r="C337" t="s">
        <v>65</v>
      </c>
      <c r="D337" t="s">
        <v>126</v>
      </c>
      <c r="E337" t="s">
        <v>44</v>
      </c>
      <c r="F337" t="s">
        <v>17</v>
      </c>
      <c r="G337">
        <v>1</v>
      </c>
      <c r="H337">
        <v>15.99</v>
      </c>
      <c r="J337" t="s">
        <v>62</v>
      </c>
      <c r="K337" t="s">
        <v>50</v>
      </c>
      <c r="L337" t="s">
        <v>21</v>
      </c>
    </row>
    <row r="338" spans="1:12" x14ac:dyDescent="0.25">
      <c r="A338">
        <v>1336</v>
      </c>
      <c r="B338" t="s">
        <v>331</v>
      </c>
      <c r="C338" t="s">
        <v>14</v>
      </c>
      <c r="D338" t="s">
        <v>84</v>
      </c>
      <c r="E338" t="s">
        <v>16</v>
      </c>
      <c r="F338" t="s">
        <v>17</v>
      </c>
      <c r="G338">
        <v>-1</v>
      </c>
      <c r="H338" t="s">
        <v>18</v>
      </c>
      <c r="J338" t="s">
        <v>54</v>
      </c>
      <c r="K338" t="s">
        <v>129</v>
      </c>
      <c r="L338" t="s">
        <v>40</v>
      </c>
    </row>
    <row r="339" spans="1:12" x14ac:dyDescent="0.25">
      <c r="A339">
        <v>1337</v>
      </c>
      <c r="B339" t="s">
        <v>335</v>
      </c>
      <c r="C339" t="s">
        <v>70</v>
      </c>
      <c r="D339" t="s">
        <v>88</v>
      </c>
      <c r="E339" t="s">
        <v>127</v>
      </c>
      <c r="F339" t="s">
        <v>73</v>
      </c>
      <c r="G339">
        <v>2</v>
      </c>
      <c r="H339">
        <v>29.99</v>
      </c>
      <c r="J339" t="s">
        <v>62</v>
      </c>
      <c r="K339" t="s">
        <v>50</v>
      </c>
      <c r="L339" t="s">
        <v>35</v>
      </c>
    </row>
    <row r="340" spans="1:12" x14ac:dyDescent="0.25">
      <c r="A340">
        <v>1338</v>
      </c>
      <c r="B340" t="s">
        <v>336</v>
      </c>
      <c r="C340" t="s">
        <v>37</v>
      </c>
      <c r="D340" t="s">
        <v>38</v>
      </c>
      <c r="E340" t="s">
        <v>85</v>
      </c>
      <c r="F340" t="s">
        <v>26</v>
      </c>
      <c r="H340">
        <v>99.99</v>
      </c>
      <c r="J340" t="s">
        <v>57</v>
      </c>
      <c r="K340" t="s">
        <v>20</v>
      </c>
      <c r="L340" t="s">
        <v>46</v>
      </c>
    </row>
    <row r="341" spans="1:12" x14ac:dyDescent="0.25">
      <c r="A341">
        <v>1339</v>
      </c>
      <c r="B341" t="s">
        <v>337</v>
      </c>
      <c r="C341" t="s">
        <v>65</v>
      </c>
      <c r="D341" t="s">
        <v>123</v>
      </c>
      <c r="E341" t="s">
        <v>39</v>
      </c>
      <c r="F341" t="s">
        <v>17</v>
      </c>
      <c r="H341" t="s">
        <v>117</v>
      </c>
      <c r="J341" t="s">
        <v>54</v>
      </c>
      <c r="K341" t="s">
        <v>68</v>
      </c>
      <c r="L341" t="s">
        <v>29</v>
      </c>
    </row>
    <row r="342" spans="1:12" x14ac:dyDescent="0.25">
      <c r="A342">
        <v>1340</v>
      </c>
      <c r="B342" t="s">
        <v>338</v>
      </c>
      <c r="C342" t="s">
        <v>23</v>
      </c>
      <c r="D342" t="s">
        <v>124</v>
      </c>
      <c r="E342" t="s">
        <v>44</v>
      </c>
      <c r="F342" t="s">
        <v>17</v>
      </c>
      <c r="G342">
        <v>-1</v>
      </c>
      <c r="H342">
        <v>15.99</v>
      </c>
      <c r="J342" t="s">
        <v>54</v>
      </c>
      <c r="K342" t="s">
        <v>50</v>
      </c>
      <c r="L342" t="s">
        <v>40</v>
      </c>
    </row>
    <row r="343" spans="1:12" x14ac:dyDescent="0.25">
      <c r="A343">
        <v>1341</v>
      </c>
      <c r="B343" t="s">
        <v>339</v>
      </c>
      <c r="C343" t="s">
        <v>37</v>
      </c>
      <c r="D343" t="s">
        <v>38</v>
      </c>
      <c r="E343" t="s">
        <v>89</v>
      </c>
      <c r="F343" t="s">
        <v>17</v>
      </c>
      <c r="G343">
        <v>1</v>
      </c>
      <c r="H343">
        <v>39.99</v>
      </c>
      <c r="J343" t="s">
        <v>27</v>
      </c>
      <c r="K343" t="s">
        <v>50</v>
      </c>
      <c r="L343" t="s">
        <v>21</v>
      </c>
    </row>
    <row r="344" spans="1:12" x14ac:dyDescent="0.25">
      <c r="A344">
        <v>1342</v>
      </c>
      <c r="B344" t="s">
        <v>340</v>
      </c>
      <c r="C344" t="s">
        <v>77</v>
      </c>
      <c r="E344" t="s">
        <v>39</v>
      </c>
      <c r="F344" t="s">
        <v>17</v>
      </c>
      <c r="G344">
        <v>-1</v>
      </c>
      <c r="H344" t="s">
        <v>117</v>
      </c>
      <c r="J344" t="s">
        <v>62</v>
      </c>
      <c r="K344" t="s">
        <v>34</v>
      </c>
      <c r="L344" t="s">
        <v>35</v>
      </c>
    </row>
    <row r="345" spans="1:12" x14ac:dyDescent="0.25">
      <c r="A345">
        <v>1343</v>
      </c>
      <c r="C345" t="s">
        <v>65</v>
      </c>
      <c r="D345" t="s">
        <v>123</v>
      </c>
      <c r="E345" t="s">
        <v>85</v>
      </c>
      <c r="F345" t="s">
        <v>26</v>
      </c>
      <c r="G345">
        <v>2</v>
      </c>
      <c r="H345">
        <v>99.99</v>
      </c>
      <c r="J345" t="s">
        <v>54</v>
      </c>
      <c r="K345" t="s">
        <v>20</v>
      </c>
      <c r="L345" t="s">
        <v>29</v>
      </c>
    </row>
    <row r="346" spans="1:12" x14ac:dyDescent="0.25">
      <c r="A346">
        <v>1344</v>
      </c>
      <c r="B346" t="s">
        <v>341</v>
      </c>
      <c r="C346" t="s">
        <v>37</v>
      </c>
      <c r="D346" t="s">
        <v>169</v>
      </c>
      <c r="E346" t="s">
        <v>52</v>
      </c>
      <c r="F346" t="s">
        <v>53</v>
      </c>
      <c r="G346">
        <v>-1</v>
      </c>
      <c r="H346">
        <v>59.99</v>
      </c>
      <c r="J346" t="s">
        <v>57</v>
      </c>
      <c r="K346" t="s">
        <v>50</v>
      </c>
      <c r="L346" t="s">
        <v>29</v>
      </c>
    </row>
    <row r="347" spans="1:12" x14ac:dyDescent="0.25">
      <c r="A347">
        <v>1345</v>
      </c>
      <c r="B347" t="s">
        <v>342</v>
      </c>
      <c r="C347" t="s">
        <v>70</v>
      </c>
      <c r="D347" t="s">
        <v>131</v>
      </c>
      <c r="E347" t="s">
        <v>49</v>
      </c>
      <c r="F347" t="s">
        <v>26</v>
      </c>
      <c r="G347">
        <v>-1</v>
      </c>
      <c r="H347">
        <v>14.99</v>
      </c>
      <c r="J347" t="s">
        <v>27</v>
      </c>
      <c r="K347" t="s">
        <v>68</v>
      </c>
      <c r="L347" t="s">
        <v>40</v>
      </c>
    </row>
    <row r="348" spans="1:12" x14ac:dyDescent="0.25">
      <c r="A348">
        <v>1346</v>
      </c>
      <c r="C348" t="s">
        <v>14</v>
      </c>
      <c r="D348" t="s">
        <v>84</v>
      </c>
      <c r="E348" t="s">
        <v>16</v>
      </c>
      <c r="F348" t="s">
        <v>17</v>
      </c>
      <c r="G348">
        <v>2</v>
      </c>
      <c r="H348">
        <v>15.99</v>
      </c>
      <c r="J348" t="s">
        <v>57</v>
      </c>
      <c r="K348" t="s">
        <v>68</v>
      </c>
      <c r="L348" t="s">
        <v>29</v>
      </c>
    </row>
    <row r="349" spans="1:12" x14ac:dyDescent="0.25">
      <c r="A349">
        <v>1347</v>
      </c>
      <c r="B349" t="s">
        <v>247</v>
      </c>
      <c r="C349" t="s">
        <v>70</v>
      </c>
      <c r="E349" t="s">
        <v>59</v>
      </c>
      <c r="F349" t="s">
        <v>60</v>
      </c>
      <c r="H349">
        <v>4.99</v>
      </c>
      <c r="J349" t="s">
        <v>54</v>
      </c>
      <c r="K349" t="s">
        <v>50</v>
      </c>
      <c r="L349" t="s">
        <v>29</v>
      </c>
    </row>
    <row r="350" spans="1:12" x14ac:dyDescent="0.25">
      <c r="A350">
        <v>1348</v>
      </c>
      <c r="C350" t="s">
        <v>37</v>
      </c>
      <c r="D350" t="s">
        <v>38</v>
      </c>
      <c r="E350" t="s">
        <v>82</v>
      </c>
      <c r="F350" t="s">
        <v>60</v>
      </c>
      <c r="G350">
        <v>4</v>
      </c>
      <c r="H350">
        <v>4.99</v>
      </c>
      <c r="J350" t="s">
        <v>19</v>
      </c>
      <c r="K350" t="s">
        <v>50</v>
      </c>
      <c r="L350" t="s">
        <v>29</v>
      </c>
    </row>
    <row r="351" spans="1:12" x14ac:dyDescent="0.25">
      <c r="A351">
        <v>1349</v>
      </c>
      <c r="B351" t="s">
        <v>343</v>
      </c>
      <c r="C351" t="s">
        <v>14</v>
      </c>
      <c r="D351" t="s">
        <v>344</v>
      </c>
      <c r="E351" t="s">
        <v>39</v>
      </c>
      <c r="F351" t="s">
        <v>17</v>
      </c>
      <c r="G351">
        <v>5</v>
      </c>
      <c r="H351">
        <v>39.99</v>
      </c>
      <c r="J351" t="s">
        <v>57</v>
      </c>
      <c r="K351" t="s">
        <v>68</v>
      </c>
      <c r="L351" t="s">
        <v>40</v>
      </c>
    </row>
    <row r="352" spans="1:12" x14ac:dyDescent="0.25">
      <c r="A352">
        <v>1350</v>
      </c>
      <c r="B352" t="s">
        <v>345</v>
      </c>
      <c r="C352" t="s">
        <v>65</v>
      </c>
      <c r="D352" t="s">
        <v>66</v>
      </c>
      <c r="E352" t="s">
        <v>127</v>
      </c>
      <c r="F352" t="s">
        <v>73</v>
      </c>
      <c r="G352">
        <v>1</v>
      </c>
      <c r="H352" t="s">
        <v>137</v>
      </c>
      <c r="J352" t="s">
        <v>33</v>
      </c>
      <c r="K352" t="s">
        <v>50</v>
      </c>
      <c r="L352" t="s">
        <v>29</v>
      </c>
    </row>
    <row r="353" spans="1:12" x14ac:dyDescent="0.25">
      <c r="A353">
        <v>1351</v>
      </c>
      <c r="C353" t="s">
        <v>65</v>
      </c>
      <c r="D353" t="s">
        <v>101</v>
      </c>
      <c r="E353" t="s">
        <v>107</v>
      </c>
      <c r="F353" t="s">
        <v>73</v>
      </c>
      <c r="G353">
        <v>3</v>
      </c>
      <c r="H353" t="s">
        <v>108</v>
      </c>
      <c r="J353" t="s">
        <v>19</v>
      </c>
      <c r="K353" t="s">
        <v>34</v>
      </c>
      <c r="L353" t="s">
        <v>46</v>
      </c>
    </row>
    <row r="354" spans="1:12" x14ac:dyDescent="0.25">
      <c r="A354">
        <v>1352</v>
      </c>
      <c r="D354" t="s">
        <v>24</v>
      </c>
      <c r="E354" t="s">
        <v>39</v>
      </c>
      <c r="F354" t="s">
        <v>17</v>
      </c>
      <c r="G354">
        <v>2</v>
      </c>
      <c r="H354">
        <v>39.99</v>
      </c>
      <c r="J354" t="s">
        <v>27</v>
      </c>
      <c r="K354" t="s">
        <v>34</v>
      </c>
      <c r="L354" t="s">
        <v>29</v>
      </c>
    </row>
    <row r="355" spans="1:12" x14ac:dyDescent="0.25">
      <c r="A355">
        <v>1353</v>
      </c>
      <c r="B355" t="s">
        <v>316</v>
      </c>
      <c r="C355" t="s">
        <v>37</v>
      </c>
      <c r="D355" t="s">
        <v>309</v>
      </c>
      <c r="E355" t="s">
        <v>39</v>
      </c>
      <c r="F355" t="s">
        <v>17</v>
      </c>
      <c r="G355">
        <v>1</v>
      </c>
      <c r="H355">
        <v>39.99</v>
      </c>
      <c r="J355" t="s">
        <v>54</v>
      </c>
      <c r="K355" t="s">
        <v>20</v>
      </c>
      <c r="L355" t="s">
        <v>46</v>
      </c>
    </row>
    <row r="356" spans="1:12" x14ac:dyDescent="0.25">
      <c r="A356">
        <v>1354</v>
      </c>
      <c r="B356" t="s">
        <v>200</v>
      </c>
      <c r="C356" t="s">
        <v>37</v>
      </c>
      <c r="D356" t="s">
        <v>162</v>
      </c>
      <c r="E356" t="s">
        <v>212</v>
      </c>
      <c r="F356" t="s">
        <v>53</v>
      </c>
      <c r="G356">
        <v>4</v>
      </c>
      <c r="H356">
        <v>59.99</v>
      </c>
      <c r="J356" t="s">
        <v>27</v>
      </c>
      <c r="K356" t="s">
        <v>34</v>
      </c>
      <c r="L356" t="s">
        <v>29</v>
      </c>
    </row>
    <row r="357" spans="1:12" x14ac:dyDescent="0.25">
      <c r="A357">
        <v>1355</v>
      </c>
      <c r="B357" t="s">
        <v>346</v>
      </c>
      <c r="C357" t="s">
        <v>37</v>
      </c>
      <c r="D357" t="s">
        <v>285</v>
      </c>
      <c r="E357" t="s">
        <v>52</v>
      </c>
      <c r="F357" t="s">
        <v>53</v>
      </c>
      <c r="G357">
        <v>4</v>
      </c>
      <c r="H357" t="s">
        <v>97</v>
      </c>
      <c r="J357" t="s">
        <v>27</v>
      </c>
      <c r="K357" t="s">
        <v>68</v>
      </c>
      <c r="L357" t="s">
        <v>46</v>
      </c>
    </row>
    <row r="358" spans="1:12" x14ac:dyDescent="0.25">
      <c r="A358">
        <v>1356</v>
      </c>
      <c r="B358" t="s">
        <v>147</v>
      </c>
      <c r="C358" t="s">
        <v>23</v>
      </c>
      <c r="D358" t="s">
        <v>24</v>
      </c>
      <c r="E358" t="s">
        <v>95</v>
      </c>
      <c r="F358" t="s">
        <v>73</v>
      </c>
      <c r="G358">
        <v>3</v>
      </c>
      <c r="H358" t="s">
        <v>137</v>
      </c>
      <c r="J358" t="s">
        <v>57</v>
      </c>
      <c r="K358" t="s">
        <v>50</v>
      </c>
      <c r="L358" t="s">
        <v>29</v>
      </c>
    </row>
    <row r="359" spans="1:12" x14ac:dyDescent="0.25">
      <c r="A359">
        <v>1357</v>
      </c>
      <c r="B359" t="s">
        <v>345</v>
      </c>
      <c r="C359" t="s">
        <v>23</v>
      </c>
      <c r="D359" t="s">
        <v>81</v>
      </c>
      <c r="E359" t="s">
        <v>82</v>
      </c>
      <c r="F359" t="s">
        <v>60</v>
      </c>
      <c r="G359">
        <v>-1</v>
      </c>
      <c r="H359" t="s">
        <v>61</v>
      </c>
      <c r="J359" t="s">
        <v>54</v>
      </c>
      <c r="K359" t="s">
        <v>20</v>
      </c>
      <c r="L359" t="s">
        <v>21</v>
      </c>
    </row>
    <row r="360" spans="1:12" x14ac:dyDescent="0.25">
      <c r="A360">
        <v>1358</v>
      </c>
      <c r="D360" t="s">
        <v>78</v>
      </c>
      <c r="E360" t="s">
        <v>16</v>
      </c>
      <c r="F360" t="s">
        <v>17</v>
      </c>
      <c r="H360">
        <v>15.99</v>
      </c>
      <c r="J360" t="s">
        <v>33</v>
      </c>
      <c r="K360" t="s">
        <v>20</v>
      </c>
      <c r="L360" t="s">
        <v>46</v>
      </c>
    </row>
    <row r="361" spans="1:12" x14ac:dyDescent="0.25">
      <c r="A361">
        <v>1359</v>
      </c>
      <c r="B361" t="s">
        <v>347</v>
      </c>
      <c r="C361" t="s">
        <v>77</v>
      </c>
      <c r="D361" t="s">
        <v>114</v>
      </c>
      <c r="E361" t="s">
        <v>95</v>
      </c>
      <c r="F361" t="s">
        <v>73</v>
      </c>
      <c r="G361">
        <v>-1</v>
      </c>
      <c r="H361">
        <v>29.99</v>
      </c>
      <c r="J361" t="s">
        <v>27</v>
      </c>
      <c r="K361" t="s">
        <v>129</v>
      </c>
      <c r="L361" t="s">
        <v>46</v>
      </c>
    </row>
    <row r="362" spans="1:12" x14ac:dyDescent="0.25">
      <c r="A362">
        <v>1360</v>
      </c>
      <c r="D362" t="s">
        <v>124</v>
      </c>
      <c r="E362" t="s">
        <v>85</v>
      </c>
      <c r="F362" t="s">
        <v>26</v>
      </c>
      <c r="H362">
        <v>99.99</v>
      </c>
      <c r="J362" t="s">
        <v>57</v>
      </c>
      <c r="K362" t="s">
        <v>129</v>
      </c>
      <c r="L362" t="s">
        <v>46</v>
      </c>
    </row>
    <row r="363" spans="1:12" x14ac:dyDescent="0.25">
      <c r="A363">
        <v>1361</v>
      </c>
      <c r="B363" t="s">
        <v>348</v>
      </c>
      <c r="C363" t="s">
        <v>14</v>
      </c>
      <c r="D363" t="s">
        <v>15</v>
      </c>
      <c r="E363" t="s">
        <v>85</v>
      </c>
      <c r="F363" t="s">
        <v>26</v>
      </c>
      <c r="G363">
        <v>4</v>
      </c>
      <c r="H363">
        <v>99.99</v>
      </c>
      <c r="J363" t="s">
        <v>33</v>
      </c>
      <c r="K363" t="s">
        <v>28</v>
      </c>
      <c r="L363" t="s">
        <v>40</v>
      </c>
    </row>
    <row r="364" spans="1:12" x14ac:dyDescent="0.25">
      <c r="A364">
        <v>1362</v>
      </c>
      <c r="C364" t="s">
        <v>42</v>
      </c>
      <c r="D364" t="s">
        <v>43</v>
      </c>
      <c r="E364" t="s">
        <v>127</v>
      </c>
      <c r="F364" t="s">
        <v>73</v>
      </c>
      <c r="G364">
        <v>2</v>
      </c>
      <c r="H364">
        <v>29.99</v>
      </c>
      <c r="J364" t="s">
        <v>54</v>
      </c>
      <c r="K364" t="s">
        <v>28</v>
      </c>
      <c r="L364" t="s">
        <v>29</v>
      </c>
    </row>
    <row r="365" spans="1:12" x14ac:dyDescent="0.25">
      <c r="A365">
        <v>1363</v>
      </c>
      <c r="B365" t="s">
        <v>349</v>
      </c>
      <c r="C365" t="s">
        <v>42</v>
      </c>
      <c r="D365" t="s">
        <v>116</v>
      </c>
      <c r="E365" t="s">
        <v>85</v>
      </c>
      <c r="F365" t="s">
        <v>26</v>
      </c>
      <c r="G365">
        <v>2</v>
      </c>
      <c r="H365" t="s">
        <v>86</v>
      </c>
      <c r="J365" t="s">
        <v>57</v>
      </c>
      <c r="K365" t="s">
        <v>34</v>
      </c>
      <c r="L365" t="s">
        <v>40</v>
      </c>
    </row>
    <row r="366" spans="1:12" x14ac:dyDescent="0.25">
      <c r="A366">
        <v>1364</v>
      </c>
      <c r="B366" t="s">
        <v>350</v>
      </c>
      <c r="C366" t="s">
        <v>14</v>
      </c>
      <c r="D366" t="s">
        <v>75</v>
      </c>
      <c r="E366" t="s">
        <v>85</v>
      </c>
      <c r="F366" t="s">
        <v>26</v>
      </c>
      <c r="G366">
        <v>4</v>
      </c>
      <c r="H366">
        <v>99.99</v>
      </c>
      <c r="J366" t="s">
        <v>33</v>
      </c>
      <c r="K366" t="s">
        <v>50</v>
      </c>
      <c r="L366" t="s">
        <v>21</v>
      </c>
    </row>
    <row r="367" spans="1:12" x14ac:dyDescent="0.25">
      <c r="A367">
        <v>1365</v>
      </c>
      <c r="B367" t="s">
        <v>351</v>
      </c>
      <c r="C367" t="s">
        <v>70</v>
      </c>
      <c r="D367" t="s">
        <v>131</v>
      </c>
      <c r="E367" t="s">
        <v>44</v>
      </c>
      <c r="F367" t="s">
        <v>17</v>
      </c>
      <c r="G367">
        <v>1</v>
      </c>
      <c r="H367">
        <v>15.99</v>
      </c>
      <c r="J367" t="s">
        <v>62</v>
      </c>
      <c r="K367" t="s">
        <v>28</v>
      </c>
      <c r="L367" t="s">
        <v>46</v>
      </c>
    </row>
    <row r="368" spans="1:12" x14ac:dyDescent="0.25">
      <c r="A368">
        <v>1366</v>
      </c>
      <c r="B368" t="s">
        <v>352</v>
      </c>
      <c r="C368" t="s">
        <v>42</v>
      </c>
      <c r="D368" t="s">
        <v>106</v>
      </c>
      <c r="E368" t="s">
        <v>85</v>
      </c>
      <c r="F368" t="s">
        <v>26</v>
      </c>
      <c r="H368">
        <v>99.99</v>
      </c>
      <c r="J368" t="s">
        <v>54</v>
      </c>
      <c r="K368" t="s">
        <v>34</v>
      </c>
      <c r="L368" t="s">
        <v>35</v>
      </c>
    </row>
    <row r="369" spans="1:13" x14ac:dyDescent="0.25">
      <c r="A369">
        <v>1367</v>
      </c>
      <c r="C369" t="s">
        <v>65</v>
      </c>
      <c r="D369" t="s">
        <v>66</v>
      </c>
      <c r="E369" t="s">
        <v>52</v>
      </c>
      <c r="F369" t="s">
        <v>53</v>
      </c>
      <c r="G369">
        <v>5</v>
      </c>
      <c r="H369">
        <v>59.99</v>
      </c>
      <c r="J369" t="s">
        <v>19</v>
      </c>
      <c r="K369" t="s">
        <v>20</v>
      </c>
      <c r="L369" t="s">
        <v>35</v>
      </c>
      <c r="M369" t="s">
        <v>63</v>
      </c>
    </row>
    <row r="370" spans="1:13" x14ac:dyDescent="0.25">
      <c r="A370">
        <v>1368</v>
      </c>
      <c r="C370" t="s">
        <v>70</v>
      </c>
      <c r="D370" t="s">
        <v>131</v>
      </c>
      <c r="E370" t="s">
        <v>92</v>
      </c>
      <c r="F370" t="s">
        <v>26</v>
      </c>
      <c r="H370" t="s">
        <v>56</v>
      </c>
      <c r="J370" t="s">
        <v>57</v>
      </c>
      <c r="K370" t="s">
        <v>129</v>
      </c>
      <c r="L370" t="s">
        <v>40</v>
      </c>
    </row>
    <row r="371" spans="1:13" x14ac:dyDescent="0.25">
      <c r="A371">
        <v>1369</v>
      </c>
      <c r="B371" t="s">
        <v>353</v>
      </c>
      <c r="C371" t="s">
        <v>77</v>
      </c>
      <c r="D371" t="s">
        <v>114</v>
      </c>
      <c r="E371" t="s">
        <v>16</v>
      </c>
      <c r="F371" t="s">
        <v>17</v>
      </c>
      <c r="G371">
        <v>2</v>
      </c>
      <c r="H371" t="s">
        <v>18</v>
      </c>
      <c r="J371" t="s">
        <v>62</v>
      </c>
      <c r="K371" t="s">
        <v>68</v>
      </c>
      <c r="L371" t="s">
        <v>29</v>
      </c>
    </row>
    <row r="372" spans="1:13" x14ac:dyDescent="0.25">
      <c r="A372">
        <v>1370</v>
      </c>
      <c r="B372" t="s">
        <v>354</v>
      </c>
      <c r="C372" t="s">
        <v>77</v>
      </c>
      <c r="E372" t="s">
        <v>82</v>
      </c>
      <c r="F372" t="s">
        <v>60</v>
      </c>
      <c r="G372">
        <v>1</v>
      </c>
      <c r="H372">
        <v>4.99</v>
      </c>
      <c r="J372" t="s">
        <v>57</v>
      </c>
      <c r="K372" t="s">
        <v>34</v>
      </c>
      <c r="L372" t="s">
        <v>29</v>
      </c>
    </row>
    <row r="373" spans="1:13" x14ac:dyDescent="0.25">
      <c r="A373">
        <v>1371</v>
      </c>
      <c r="B373" t="s">
        <v>355</v>
      </c>
      <c r="C373" t="s">
        <v>65</v>
      </c>
      <c r="D373" t="s">
        <v>123</v>
      </c>
      <c r="E373" t="s">
        <v>212</v>
      </c>
      <c r="F373" t="s">
        <v>53</v>
      </c>
      <c r="G373">
        <v>3</v>
      </c>
      <c r="H373">
        <v>59.99</v>
      </c>
      <c r="J373" t="s">
        <v>54</v>
      </c>
      <c r="K373" t="s">
        <v>129</v>
      </c>
      <c r="L373" t="s">
        <v>35</v>
      </c>
    </row>
    <row r="374" spans="1:13" x14ac:dyDescent="0.25">
      <c r="A374">
        <v>1372</v>
      </c>
      <c r="C374" t="s">
        <v>65</v>
      </c>
      <c r="D374" t="s">
        <v>66</v>
      </c>
      <c r="E374" t="s">
        <v>82</v>
      </c>
      <c r="F374" t="s">
        <v>60</v>
      </c>
      <c r="G374">
        <v>2</v>
      </c>
      <c r="H374">
        <v>4.99</v>
      </c>
      <c r="J374" t="s">
        <v>57</v>
      </c>
      <c r="K374" t="s">
        <v>34</v>
      </c>
      <c r="L374" t="s">
        <v>21</v>
      </c>
    </row>
    <row r="375" spans="1:13" x14ac:dyDescent="0.25">
      <c r="A375">
        <v>1373</v>
      </c>
      <c r="B375" t="s">
        <v>356</v>
      </c>
      <c r="C375" t="s">
        <v>77</v>
      </c>
      <c r="D375" t="s">
        <v>114</v>
      </c>
      <c r="E375" t="s">
        <v>44</v>
      </c>
      <c r="F375" t="s">
        <v>17</v>
      </c>
      <c r="H375" t="s">
        <v>18</v>
      </c>
      <c r="J375" t="s">
        <v>19</v>
      </c>
      <c r="K375" t="s">
        <v>20</v>
      </c>
      <c r="L375" t="s">
        <v>29</v>
      </c>
    </row>
    <row r="376" spans="1:13" x14ac:dyDescent="0.25">
      <c r="A376">
        <v>1374</v>
      </c>
      <c r="B376" t="s">
        <v>357</v>
      </c>
      <c r="C376" t="s">
        <v>14</v>
      </c>
      <c r="D376" t="s">
        <v>344</v>
      </c>
      <c r="E376" t="s">
        <v>31</v>
      </c>
      <c r="F376" t="s">
        <v>32</v>
      </c>
      <c r="G376">
        <v>-1</v>
      </c>
      <c r="H376" t="s">
        <v>125</v>
      </c>
      <c r="J376" t="s">
        <v>57</v>
      </c>
      <c r="K376" t="s">
        <v>68</v>
      </c>
      <c r="L376" t="s">
        <v>21</v>
      </c>
    </row>
    <row r="377" spans="1:13" x14ac:dyDescent="0.25">
      <c r="A377">
        <v>1375</v>
      </c>
      <c r="B377" t="s">
        <v>358</v>
      </c>
      <c r="C377" t="s">
        <v>14</v>
      </c>
      <c r="D377" t="s">
        <v>75</v>
      </c>
      <c r="E377" t="s">
        <v>127</v>
      </c>
      <c r="F377" t="s">
        <v>73</v>
      </c>
      <c r="G377">
        <v>2</v>
      </c>
      <c r="H377" t="s">
        <v>137</v>
      </c>
      <c r="J377" t="s">
        <v>27</v>
      </c>
      <c r="K377" t="s">
        <v>129</v>
      </c>
      <c r="L377" t="s">
        <v>40</v>
      </c>
    </row>
    <row r="378" spans="1:13" x14ac:dyDescent="0.25">
      <c r="A378">
        <v>1376</v>
      </c>
      <c r="C378" t="s">
        <v>77</v>
      </c>
      <c r="D378" t="s">
        <v>78</v>
      </c>
      <c r="E378" t="s">
        <v>127</v>
      </c>
      <c r="F378" t="s">
        <v>73</v>
      </c>
      <c r="G378">
        <v>-1</v>
      </c>
      <c r="H378">
        <v>29.99</v>
      </c>
      <c r="J378" t="s">
        <v>33</v>
      </c>
      <c r="K378" t="s">
        <v>55</v>
      </c>
      <c r="L378" t="s">
        <v>29</v>
      </c>
    </row>
    <row r="379" spans="1:13" x14ac:dyDescent="0.25">
      <c r="A379">
        <v>1377</v>
      </c>
      <c r="B379" t="s">
        <v>359</v>
      </c>
      <c r="C379" t="s">
        <v>42</v>
      </c>
      <c r="D379" t="s">
        <v>43</v>
      </c>
      <c r="E379" t="s">
        <v>52</v>
      </c>
      <c r="F379" t="s">
        <v>53</v>
      </c>
      <c r="H379">
        <v>59.99</v>
      </c>
      <c r="J379" t="s">
        <v>33</v>
      </c>
      <c r="K379" t="s">
        <v>45</v>
      </c>
      <c r="L379" t="s">
        <v>40</v>
      </c>
    </row>
    <row r="380" spans="1:13" x14ac:dyDescent="0.25">
      <c r="A380">
        <v>1378</v>
      </c>
      <c r="B380" t="s">
        <v>257</v>
      </c>
      <c r="C380" t="s">
        <v>42</v>
      </c>
      <c r="D380" t="s">
        <v>48</v>
      </c>
      <c r="E380" t="s">
        <v>31</v>
      </c>
      <c r="F380" t="s">
        <v>32</v>
      </c>
      <c r="G380">
        <v>3</v>
      </c>
      <c r="H380">
        <v>79.989999999999995</v>
      </c>
      <c r="J380" t="s">
        <v>33</v>
      </c>
      <c r="K380" t="s">
        <v>55</v>
      </c>
      <c r="L380" t="s">
        <v>40</v>
      </c>
    </row>
    <row r="381" spans="1:13" x14ac:dyDescent="0.25">
      <c r="A381">
        <v>1379</v>
      </c>
      <c r="B381" t="s">
        <v>360</v>
      </c>
      <c r="C381" t="s">
        <v>65</v>
      </c>
      <c r="D381" t="s">
        <v>126</v>
      </c>
      <c r="E381" t="s">
        <v>212</v>
      </c>
      <c r="F381" t="s">
        <v>53</v>
      </c>
      <c r="G381">
        <v>1</v>
      </c>
      <c r="H381" t="s">
        <v>97</v>
      </c>
      <c r="J381" t="s">
        <v>27</v>
      </c>
      <c r="K381" t="s">
        <v>129</v>
      </c>
      <c r="L381" t="s">
        <v>21</v>
      </c>
    </row>
    <row r="382" spans="1:13" x14ac:dyDescent="0.25">
      <c r="A382">
        <v>1380</v>
      </c>
      <c r="C382" t="s">
        <v>42</v>
      </c>
      <c r="D382" t="s">
        <v>116</v>
      </c>
      <c r="E382" t="s">
        <v>59</v>
      </c>
      <c r="F382" t="s">
        <v>60</v>
      </c>
      <c r="G382">
        <v>-1</v>
      </c>
      <c r="H382">
        <v>4.99</v>
      </c>
      <c r="J382" t="s">
        <v>62</v>
      </c>
      <c r="K382" t="s">
        <v>55</v>
      </c>
      <c r="L382" t="s">
        <v>35</v>
      </c>
    </row>
    <row r="383" spans="1:13" x14ac:dyDescent="0.25">
      <c r="A383">
        <v>1381</v>
      </c>
      <c r="B383" t="s">
        <v>142</v>
      </c>
      <c r="C383" t="s">
        <v>14</v>
      </c>
      <c r="D383" t="s">
        <v>84</v>
      </c>
      <c r="E383" t="s">
        <v>72</v>
      </c>
      <c r="F383" t="s">
        <v>73</v>
      </c>
      <c r="G383">
        <v>4</v>
      </c>
      <c r="H383">
        <v>49.99</v>
      </c>
      <c r="J383" t="s">
        <v>57</v>
      </c>
      <c r="K383" t="s">
        <v>129</v>
      </c>
      <c r="L383" t="s">
        <v>29</v>
      </c>
    </row>
    <row r="384" spans="1:13" x14ac:dyDescent="0.25">
      <c r="A384">
        <v>1382</v>
      </c>
      <c r="C384" t="s">
        <v>42</v>
      </c>
      <c r="D384" t="s">
        <v>116</v>
      </c>
      <c r="E384" t="s">
        <v>92</v>
      </c>
      <c r="F384" t="s">
        <v>26</v>
      </c>
      <c r="G384">
        <v>5</v>
      </c>
      <c r="H384">
        <v>14.99</v>
      </c>
      <c r="J384" t="s">
        <v>27</v>
      </c>
      <c r="K384" t="s">
        <v>20</v>
      </c>
      <c r="L384" t="s">
        <v>40</v>
      </c>
    </row>
    <row r="385" spans="1:13" x14ac:dyDescent="0.25">
      <c r="A385">
        <v>1383</v>
      </c>
      <c r="B385" t="s">
        <v>361</v>
      </c>
      <c r="C385" t="s">
        <v>77</v>
      </c>
      <c r="D385" t="s">
        <v>78</v>
      </c>
      <c r="E385" t="s">
        <v>25</v>
      </c>
      <c r="F385" t="s">
        <v>26</v>
      </c>
      <c r="G385">
        <v>1</v>
      </c>
      <c r="H385" t="s">
        <v>86</v>
      </c>
      <c r="J385" t="s">
        <v>27</v>
      </c>
      <c r="K385" t="s">
        <v>45</v>
      </c>
      <c r="L385" t="s">
        <v>35</v>
      </c>
    </row>
    <row r="386" spans="1:13" x14ac:dyDescent="0.25">
      <c r="A386">
        <v>1384</v>
      </c>
      <c r="B386" t="s">
        <v>362</v>
      </c>
      <c r="C386" t="s">
        <v>77</v>
      </c>
      <c r="D386" t="s">
        <v>91</v>
      </c>
      <c r="E386" t="s">
        <v>89</v>
      </c>
      <c r="F386" t="s">
        <v>17</v>
      </c>
      <c r="G386">
        <v>5</v>
      </c>
      <c r="H386">
        <v>39.99</v>
      </c>
      <c r="J386" t="s">
        <v>62</v>
      </c>
      <c r="K386" t="s">
        <v>129</v>
      </c>
      <c r="L386" t="s">
        <v>21</v>
      </c>
    </row>
    <row r="387" spans="1:13" x14ac:dyDescent="0.25">
      <c r="A387">
        <v>1385</v>
      </c>
      <c r="B387" t="s">
        <v>269</v>
      </c>
      <c r="C387" t="s">
        <v>65</v>
      </c>
      <c r="D387" t="s">
        <v>123</v>
      </c>
      <c r="E387" t="s">
        <v>85</v>
      </c>
      <c r="F387" t="s">
        <v>26</v>
      </c>
      <c r="G387">
        <v>1</v>
      </c>
      <c r="H387">
        <v>99.99</v>
      </c>
      <c r="J387" t="s">
        <v>57</v>
      </c>
      <c r="K387" t="s">
        <v>45</v>
      </c>
      <c r="L387" t="s">
        <v>46</v>
      </c>
    </row>
    <row r="388" spans="1:13" x14ac:dyDescent="0.25">
      <c r="A388">
        <v>1386</v>
      </c>
      <c r="B388" t="s">
        <v>242</v>
      </c>
      <c r="C388" t="s">
        <v>37</v>
      </c>
      <c r="D388" t="s">
        <v>38</v>
      </c>
      <c r="E388" t="s">
        <v>85</v>
      </c>
      <c r="F388" t="s">
        <v>26</v>
      </c>
      <c r="G388">
        <v>4</v>
      </c>
      <c r="H388" t="s">
        <v>86</v>
      </c>
      <c r="J388" t="s">
        <v>62</v>
      </c>
      <c r="K388" t="s">
        <v>55</v>
      </c>
      <c r="L388" t="s">
        <v>29</v>
      </c>
    </row>
    <row r="389" spans="1:13" x14ac:dyDescent="0.25">
      <c r="A389">
        <v>1387</v>
      </c>
      <c r="B389" t="s">
        <v>363</v>
      </c>
      <c r="C389" t="s">
        <v>70</v>
      </c>
      <c r="D389" t="s">
        <v>144</v>
      </c>
      <c r="E389" t="s">
        <v>85</v>
      </c>
      <c r="F389" t="s">
        <v>26</v>
      </c>
      <c r="H389" t="s">
        <v>86</v>
      </c>
      <c r="J389" t="s">
        <v>54</v>
      </c>
      <c r="K389" t="s">
        <v>45</v>
      </c>
      <c r="L389" t="s">
        <v>21</v>
      </c>
    </row>
    <row r="390" spans="1:13" x14ac:dyDescent="0.25">
      <c r="A390">
        <v>1388</v>
      </c>
      <c r="B390" t="s">
        <v>364</v>
      </c>
      <c r="C390" t="s">
        <v>23</v>
      </c>
      <c r="D390" t="s">
        <v>124</v>
      </c>
      <c r="E390" t="s">
        <v>25</v>
      </c>
      <c r="F390" t="s">
        <v>26</v>
      </c>
      <c r="G390">
        <v>1</v>
      </c>
      <c r="H390" t="s">
        <v>86</v>
      </c>
      <c r="J390" t="s">
        <v>62</v>
      </c>
      <c r="K390" t="s">
        <v>55</v>
      </c>
      <c r="L390" t="s">
        <v>40</v>
      </c>
    </row>
    <row r="391" spans="1:13" x14ac:dyDescent="0.25">
      <c r="A391">
        <v>1389</v>
      </c>
      <c r="B391" t="s">
        <v>365</v>
      </c>
      <c r="C391" t="s">
        <v>65</v>
      </c>
      <c r="D391" t="s">
        <v>126</v>
      </c>
      <c r="E391" t="s">
        <v>39</v>
      </c>
      <c r="F391" t="s">
        <v>17</v>
      </c>
      <c r="G391">
        <v>1</v>
      </c>
      <c r="H391">
        <v>39.99</v>
      </c>
      <c r="J391" t="s">
        <v>54</v>
      </c>
      <c r="K391" t="s">
        <v>20</v>
      </c>
      <c r="L391" t="s">
        <v>46</v>
      </c>
    </row>
    <row r="392" spans="1:13" x14ac:dyDescent="0.25">
      <c r="A392">
        <v>1390</v>
      </c>
      <c r="C392" t="s">
        <v>37</v>
      </c>
      <c r="D392" t="s">
        <v>162</v>
      </c>
      <c r="E392" t="s">
        <v>39</v>
      </c>
      <c r="F392" t="s">
        <v>17</v>
      </c>
      <c r="G392">
        <v>4</v>
      </c>
      <c r="H392">
        <v>39.99</v>
      </c>
      <c r="J392" t="s">
        <v>57</v>
      </c>
      <c r="K392" t="s">
        <v>20</v>
      </c>
      <c r="L392" t="s">
        <v>29</v>
      </c>
    </row>
    <row r="393" spans="1:13" x14ac:dyDescent="0.25">
      <c r="A393">
        <v>1391</v>
      </c>
      <c r="C393" t="s">
        <v>37</v>
      </c>
      <c r="D393" t="s">
        <v>38</v>
      </c>
      <c r="E393" t="s">
        <v>16</v>
      </c>
      <c r="F393" t="s">
        <v>17</v>
      </c>
      <c r="H393" t="s">
        <v>18</v>
      </c>
      <c r="J393" t="s">
        <v>33</v>
      </c>
      <c r="K393" t="s">
        <v>45</v>
      </c>
      <c r="L393" t="s">
        <v>29</v>
      </c>
      <c r="M393" t="s">
        <v>63</v>
      </c>
    </row>
    <row r="394" spans="1:13" x14ac:dyDescent="0.25">
      <c r="A394">
        <v>1392</v>
      </c>
      <c r="B394" t="s">
        <v>366</v>
      </c>
      <c r="C394" t="s">
        <v>37</v>
      </c>
      <c r="D394" t="s">
        <v>38</v>
      </c>
      <c r="E394" t="s">
        <v>72</v>
      </c>
      <c r="F394" t="s">
        <v>73</v>
      </c>
      <c r="G394">
        <v>4</v>
      </c>
      <c r="H394">
        <v>49.99</v>
      </c>
      <c r="J394" t="s">
        <v>27</v>
      </c>
      <c r="K394" t="s">
        <v>68</v>
      </c>
      <c r="L394" t="s">
        <v>46</v>
      </c>
    </row>
    <row r="395" spans="1:13" x14ac:dyDescent="0.25">
      <c r="A395">
        <v>1393</v>
      </c>
      <c r="C395" t="s">
        <v>42</v>
      </c>
      <c r="D395" t="s">
        <v>48</v>
      </c>
      <c r="E395" t="s">
        <v>44</v>
      </c>
      <c r="F395" t="s">
        <v>17</v>
      </c>
      <c r="G395">
        <v>-1</v>
      </c>
      <c r="H395" t="s">
        <v>18</v>
      </c>
      <c r="J395" t="s">
        <v>57</v>
      </c>
      <c r="K395" t="s">
        <v>34</v>
      </c>
      <c r="L395" t="s">
        <v>40</v>
      </c>
    </row>
    <row r="396" spans="1:13" x14ac:dyDescent="0.25">
      <c r="A396">
        <v>1394</v>
      </c>
      <c r="B396" t="s">
        <v>367</v>
      </c>
      <c r="C396" t="s">
        <v>42</v>
      </c>
      <c r="D396" t="s">
        <v>48</v>
      </c>
      <c r="E396" t="s">
        <v>59</v>
      </c>
      <c r="F396" t="s">
        <v>60</v>
      </c>
      <c r="G396">
        <v>1</v>
      </c>
      <c r="H396">
        <v>4.99</v>
      </c>
      <c r="J396" t="s">
        <v>27</v>
      </c>
      <c r="K396" t="s">
        <v>34</v>
      </c>
      <c r="L396" t="s">
        <v>21</v>
      </c>
    </row>
    <row r="397" spans="1:13" x14ac:dyDescent="0.25">
      <c r="A397">
        <v>1395</v>
      </c>
      <c r="C397" t="s">
        <v>65</v>
      </c>
      <c r="D397" t="s">
        <v>126</v>
      </c>
      <c r="E397" t="s">
        <v>89</v>
      </c>
      <c r="F397" t="s">
        <v>17</v>
      </c>
      <c r="G397">
        <v>2</v>
      </c>
      <c r="H397">
        <v>39.99</v>
      </c>
      <c r="J397" t="s">
        <v>27</v>
      </c>
      <c r="K397" t="s">
        <v>34</v>
      </c>
      <c r="L397" t="s">
        <v>40</v>
      </c>
    </row>
    <row r="398" spans="1:13" x14ac:dyDescent="0.25">
      <c r="A398">
        <v>1396</v>
      </c>
      <c r="B398" t="s">
        <v>76</v>
      </c>
      <c r="C398" t="s">
        <v>14</v>
      </c>
      <c r="D398" t="s">
        <v>84</v>
      </c>
      <c r="E398" t="s">
        <v>127</v>
      </c>
      <c r="F398" t="s">
        <v>73</v>
      </c>
      <c r="G398">
        <v>1</v>
      </c>
      <c r="H398">
        <v>29.99</v>
      </c>
      <c r="J398" t="s">
        <v>57</v>
      </c>
      <c r="K398" t="s">
        <v>28</v>
      </c>
      <c r="L398" t="s">
        <v>40</v>
      </c>
    </row>
    <row r="399" spans="1:13" x14ac:dyDescent="0.25">
      <c r="A399">
        <v>1397</v>
      </c>
      <c r="C399" t="s">
        <v>77</v>
      </c>
      <c r="D399" t="s">
        <v>91</v>
      </c>
      <c r="E399" t="s">
        <v>31</v>
      </c>
      <c r="F399" t="s">
        <v>32</v>
      </c>
      <c r="G399">
        <v>-1</v>
      </c>
      <c r="H399">
        <v>79.989999999999995</v>
      </c>
      <c r="J399" t="s">
        <v>19</v>
      </c>
      <c r="K399" t="s">
        <v>129</v>
      </c>
      <c r="L399" t="s">
        <v>21</v>
      </c>
    </row>
    <row r="400" spans="1:13" x14ac:dyDescent="0.25">
      <c r="A400">
        <v>1398</v>
      </c>
      <c r="C400" t="s">
        <v>42</v>
      </c>
      <c r="D400" t="s">
        <v>43</v>
      </c>
      <c r="E400" t="s">
        <v>52</v>
      </c>
      <c r="F400" t="s">
        <v>53</v>
      </c>
      <c r="G400">
        <v>3</v>
      </c>
      <c r="H400" t="s">
        <v>97</v>
      </c>
      <c r="J400" t="s">
        <v>33</v>
      </c>
      <c r="K400" t="s">
        <v>28</v>
      </c>
      <c r="L400" t="s">
        <v>35</v>
      </c>
    </row>
    <row r="401" spans="1:12" x14ac:dyDescent="0.25">
      <c r="A401">
        <v>1399</v>
      </c>
      <c r="B401" t="s">
        <v>368</v>
      </c>
      <c r="C401" t="s">
        <v>70</v>
      </c>
      <c r="D401" t="s">
        <v>131</v>
      </c>
      <c r="E401" t="s">
        <v>82</v>
      </c>
      <c r="F401" t="s">
        <v>60</v>
      </c>
      <c r="G401">
        <v>3</v>
      </c>
      <c r="H401">
        <v>4.99</v>
      </c>
      <c r="J401" t="s">
        <v>19</v>
      </c>
      <c r="K401" t="s">
        <v>45</v>
      </c>
      <c r="L401" t="s">
        <v>46</v>
      </c>
    </row>
    <row r="402" spans="1:12" x14ac:dyDescent="0.25">
      <c r="A402">
        <v>1400</v>
      </c>
      <c r="B402" t="s">
        <v>30</v>
      </c>
      <c r="C402" t="s">
        <v>37</v>
      </c>
      <c r="D402" t="s">
        <v>162</v>
      </c>
      <c r="E402" t="s">
        <v>52</v>
      </c>
      <c r="F402" t="s">
        <v>53</v>
      </c>
      <c r="G402">
        <v>1</v>
      </c>
      <c r="H402">
        <v>59.99</v>
      </c>
      <c r="J402" t="s">
        <v>19</v>
      </c>
      <c r="K402" t="s">
        <v>55</v>
      </c>
      <c r="L402" t="s">
        <v>35</v>
      </c>
    </row>
    <row r="403" spans="1:12" x14ac:dyDescent="0.25">
      <c r="A403">
        <v>1401</v>
      </c>
      <c r="B403" t="s">
        <v>369</v>
      </c>
      <c r="C403" t="s">
        <v>23</v>
      </c>
      <c r="D403" t="s">
        <v>124</v>
      </c>
      <c r="E403" t="s">
        <v>212</v>
      </c>
      <c r="F403" t="s">
        <v>53</v>
      </c>
      <c r="G403">
        <v>5</v>
      </c>
      <c r="H403">
        <v>59.99</v>
      </c>
      <c r="J403" t="s">
        <v>27</v>
      </c>
      <c r="K403" t="s">
        <v>45</v>
      </c>
      <c r="L403" t="s">
        <v>29</v>
      </c>
    </row>
    <row r="404" spans="1:12" x14ac:dyDescent="0.25">
      <c r="A404">
        <v>1402</v>
      </c>
      <c r="B404" t="s">
        <v>370</v>
      </c>
      <c r="C404" t="s">
        <v>37</v>
      </c>
      <c r="D404" t="s">
        <v>162</v>
      </c>
      <c r="E404" t="s">
        <v>72</v>
      </c>
      <c r="F404" t="s">
        <v>73</v>
      </c>
      <c r="H404">
        <v>49.99</v>
      </c>
      <c r="J404" t="s">
        <v>19</v>
      </c>
      <c r="K404" t="s">
        <v>50</v>
      </c>
      <c r="L404" t="s">
        <v>21</v>
      </c>
    </row>
    <row r="405" spans="1:12" x14ac:dyDescent="0.25">
      <c r="A405">
        <v>1403</v>
      </c>
      <c r="B405" t="s">
        <v>371</v>
      </c>
      <c r="C405" t="s">
        <v>23</v>
      </c>
      <c r="D405" t="s">
        <v>81</v>
      </c>
      <c r="E405" t="s">
        <v>89</v>
      </c>
      <c r="F405" t="s">
        <v>17</v>
      </c>
      <c r="G405">
        <v>4</v>
      </c>
      <c r="H405">
        <v>39.99</v>
      </c>
      <c r="J405" t="s">
        <v>62</v>
      </c>
      <c r="K405" t="s">
        <v>34</v>
      </c>
      <c r="L405" t="s">
        <v>29</v>
      </c>
    </row>
    <row r="406" spans="1:12" x14ac:dyDescent="0.25">
      <c r="A406">
        <v>1404</v>
      </c>
      <c r="B406" t="s">
        <v>372</v>
      </c>
      <c r="C406" t="s">
        <v>23</v>
      </c>
      <c r="D406" t="s">
        <v>24</v>
      </c>
      <c r="E406" t="s">
        <v>25</v>
      </c>
      <c r="F406" t="s">
        <v>26</v>
      </c>
      <c r="G406">
        <v>1</v>
      </c>
      <c r="H406">
        <v>99.99</v>
      </c>
      <c r="J406" t="s">
        <v>57</v>
      </c>
      <c r="K406" t="s">
        <v>55</v>
      </c>
      <c r="L406" t="s">
        <v>21</v>
      </c>
    </row>
    <row r="407" spans="1:12" x14ac:dyDescent="0.25">
      <c r="A407">
        <v>1405</v>
      </c>
      <c r="B407" t="s">
        <v>373</v>
      </c>
      <c r="C407" t="s">
        <v>14</v>
      </c>
      <c r="D407" t="s">
        <v>75</v>
      </c>
      <c r="E407" t="s">
        <v>52</v>
      </c>
      <c r="F407" t="s">
        <v>53</v>
      </c>
      <c r="H407">
        <v>59.99</v>
      </c>
      <c r="J407" t="s">
        <v>54</v>
      </c>
      <c r="K407" t="s">
        <v>20</v>
      </c>
      <c r="L407" t="s">
        <v>46</v>
      </c>
    </row>
    <row r="408" spans="1:12" x14ac:dyDescent="0.25">
      <c r="B408" t="s">
        <v>374</v>
      </c>
      <c r="C408" t="s">
        <v>23</v>
      </c>
      <c r="D408" t="s">
        <v>124</v>
      </c>
      <c r="E408" t="s">
        <v>82</v>
      </c>
      <c r="F408" t="s">
        <v>60</v>
      </c>
      <c r="H408">
        <v>4.99</v>
      </c>
      <c r="J408" t="s">
        <v>62</v>
      </c>
      <c r="K408" t="s">
        <v>68</v>
      </c>
      <c r="L408" t="s">
        <v>29</v>
      </c>
    </row>
    <row r="409" spans="1:12" x14ac:dyDescent="0.25">
      <c r="A409">
        <v>1407</v>
      </c>
      <c r="C409" t="s">
        <v>14</v>
      </c>
      <c r="D409" t="s">
        <v>75</v>
      </c>
      <c r="E409" t="s">
        <v>52</v>
      </c>
      <c r="F409" t="s">
        <v>53</v>
      </c>
      <c r="H409" t="s">
        <v>97</v>
      </c>
      <c r="J409" t="s">
        <v>33</v>
      </c>
      <c r="K409" t="s">
        <v>28</v>
      </c>
      <c r="L409" t="s">
        <v>29</v>
      </c>
    </row>
    <row r="410" spans="1:12" x14ac:dyDescent="0.25">
      <c r="A410">
        <v>1408</v>
      </c>
      <c r="B410" t="s">
        <v>307</v>
      </c>
      <c r="C410" t="s">
        <v>23</v>
      </c>
      <c r="D410" t="s">
        <v>124</v>
      </c>
      <c r="E410" t="s">
        <v>52</v>
      </c>
      <c r="F410" t="s">
        <v>53</v>
      </c>
      <c r="H410" t="s">
        <v>97</v>
      </c>
      <c r="J410" t="s">
        <v>62</v>
      </c>
      <c r="K410" t="s">
        <v>20</v>
      </c>
      <c r="L410" t="s">
        <v>29</v>
      </c>
    </row>
    <row r="411" spans="1:12" x14ac:dyDescent="0.25">
      <c r="A411">
        <v>1409</v>
      </c>
      <c r="D411" t="s">
        <v>126</v>
      </c>
      <c r="E411" t="s">
        <v>82</v>
      </c>
      <c r="F411" t="s">
        <v>60</v>
      </c>
      <c r="G411">
        <v>5</v>
      </c>
      <c r="H411">
        <v>4.99</v>
      </c>
      <c r="J411" t="s">
        <v>33</v>
      </c>
      <c r="K411" t="s">
        <v>50</v>
      </c>
      <c r="L411" t="s">
        <v>46</v>
      </c>
    </row>
    <row r="412" spans="1:12" x14ac:dyDescent="0.25">
      <c r="A412">
        <v>1410</v>
      </c>
      <c r="B412" t="s">
        <v>375</v>
      </c>
      <c r="C412" t="s">
        <v>70</v>
      </c>
      <c r="D412" t="s">
        <v>131</v>
      </c>
      <c r="E412" t="s">
        <v>49</v>
      </c>
      <c r="F412" t="s">
        <v>26</v>
      </c>
      <c r="G412">
        <v>2</v>
      </c>
      <c r="H412">
        <v>14.99</v>
      </c>
      <c r="J412" t="s">
        <v>57</v>
      </c>
      <c r="K412" t="s">
        <v>50</v>
      </c>
      <c r="L412" t="s">
        <v>21</v>
      </c>
    </row>
    <row r="413" spans="1:12" x14ac:dyDescent="0.25">
      <c r="A413">
        <v>1411</v>
      </c>
      <c r="B413" t="s">
        <v>376</v>
      </c>
      <c r="C413" t="s">
        <v>14</v>
      </c>
      <c r="D413" t="s">
        <v>84</v>
      </c>
      <c r="E413" t="s">
        <v>127</v>
      </c>
      <c r="F413" t="s">
        <v>73</v>
      </c>
      <c r="G413">
        <v>5</v>
      </c>
      <c r="H413">
        <v>29.99</v>
      </c>
      <c r="J413" t="s">
        <v>62</v>
      </c>
      <c r="K413" t="s">
        <v>50</v>
      </c>
      <c r="L413" t="s">
        <v>46</v>
      </c>
    </row>
    <row r="414" spans="1:12" x14ac:dyDescent="0.25">
      <c r="A414">
        <v>1412</v>
      </c>
      <c r="C414" t="s">
        <v>77</v>
      </c>
      <c r="D414" t="s">
        <v>91</v>
      </c>
      <c r="E414" t="s">
        <v>89</v>
      </c>
      <c r="F414" t="s">
        <v>17</v>
      </c>
      <c r="H414">
        <v>39.99</v>
      </c>
      <c r="J414" t="s">
        <v>57</v>
      </c>
      <c r="K414" t="s">
        <v>50</v>
      </c>
      <c r="L414" t="s">
        <v>21</v>
      </c>
    </row>
    <row r="415" spans="1:12" x14ac:dyDescent="0.25">
      <c r="A415">
        <v>1413</v>
      </c>
      <c r="B415" t="s">
        <v>377</v>
      </c>
      <c r="C415" t="s">
        <v>77</v>
      </c>
      <c r="E415" t="s">
        <v>85</v>
      </c>
      <c r="F415" t="s">
        <v>26</v>
      </c>
      <c r="G415">
        <v>4</v>
      </c>
      <c r="H415">
        <v>99.99</v>
      </c>
      <c r="J415" t="s">
        <v>33</v>
      </c>
      <c r="K415" t="s">
        <v>45</v>
      </c>
      <c r="L415" t="s">
        <v>46</v>
      </c>
    </row>
    <row r="416" spans="1:12" x14ac:dyDescent="0.25">
      <c r="A416">
        <v>1414</v>
      </c>
      <c r="C416" t="s">
        <v>37</v>
      </c>
      <c r="D416" t="s">
        <v>38</v>
      </c>
      <c r="E416" t="s">
        <v>92</v>
      </c>
      <c r="F416" t="s">
        <v>26</v>
      </c>
      <c r="G416">
        <v>2</v>
      </c>
      <c r="H416" t="s">
        <v>56</v>
      </c>
      <c r="J416" t="s">
        <v>19</v>
      </c>
      <c r="K416" t="s">
        <v>68</v>
      </c>
      <c r="L416" t="s">
        <v>29</v>
      </c>
    </row>
    <row r="417" spans="1:12" x14ac:dyDescent="0.25">
      <c r="A417">
        <v>1415</v>
      </c>
      <c r="B417" t="s">
        <v>378</v>
      </c>
      <c r="C417" t="s">
        <v>65</v>
      </c>
      <c r="D417" t="s">
        <v>126</v>
      </c>
      <c r="E417" t="s">
        <v>92</v>
      </c>
      <c r="F417" t="s">
        <v>26</v>
      </c>
      <c r="G417">
        <v>1</v>
      </c>
      <c r="H417" t="s">
        <v>56</v>
      </c>
      <c r="J417" t="s">
        <v>19</v>
      </c>
      <c r="K417" t="s">
        <v>45</v>
      </c>
      <c r="L417" t="s">
        <v>35</v>
      </c>
    </row>
    <row r="418" spans="1:12" x14ac:dyDescent="0.25">
      <c r="A418">
        <v>1416</v>
      </c>
      <c r="B418" t="s">
        <v>379</v>
      </c>
      <c r="C418" t="s">
        <v>14</v>
      </c>
      <c r="D418" t="s">
        <v>84</v>
      </c>
      <c r="E418" t="s">
        <v>59</v>
      </c>
      <c r="F418" t="s">
        <v>60</v>
      </c>
      <c r="G418">
        <v>5</v>
      </c>
      <c r="H418">
        <v>4.99</v>
      </c>
      <c r="J418" t="s">
        <v>27</v>
      </c>
      <c r="K418" t="s">
        <v>45</v>
      </c>
      <c r="L418" t="s">
        <v>35</v>
      </c>
    </row>
    <row r="419" spans="1:12" x14ac:dyDescent="0.25">
      <c r="A419">
        <v>1417</v>
      </c>
      <c r="B419" t="s">
        <v>380</v>
      </c>
      <c r="C419" t="s">
        <v>70</v>
      </c>
      <c r="D419" t="s">
        <v>71</v>
      </c>
      <c r="E419" t="s">
        <v>52</v>
      </c>
      <c r="F419" t="s">
        <v>53</v>
      </c>
      <c r="G419">
        <v>5</v>
      </c>
      <c r="H419">
        <v>59.99</v>
      </c>
      <c r="J419" t="s">
        <v>62</v>
      </c>
      <c r="K419" t="s">
        <v>50</v>
      </c>
      <c r="L419" t="s">
        <v>35</v>
      </c>
    </row>
    <row r="420" spans="1:12" x14ac:dyDescent="0.25">
      <c r="A420">
        <v>1418</v>
      </c>
      <c r="B420" t="s">
        <v>325</v>
      </c>
      <c r="C420" t="s">
        <v>70</v>
      </c>
      <c r="D420" t="s">
        <v>144</v>
      </c>
      <c r="E420" t="s">
        <v>44</v>
      </c>
      <c r="F420" t="s">
        <v>17</v>
      </c>
      <c r="G420">
        <v>1</v>
      </c>
      <c r="H420">
        <v>15.99</v>
      </c>
      <c r="J420" t="s">
        <v>54</v>
      </c>
      <c r="K420" t="s">
        <v>129</v>
      </c>
      <c r="L420" t="s">
        <v>21</v>
      </c>
    </row>
    <row r="421" spans="1:12" x14ac:dyDescent="0.25">
      <c r="A421">
        <v>1419</v>
      </c>
      <c r="B421" t="s">
        <v>140</v>
      </c>
      <c r="D421" t="s">
        <v>106</v>
      </c>
      <c r="E421" t="s">
        <v>25</v>
      </c>
      <c r="F421" t="s">
        <v>26</v>
      </c>
      <c r="G421">
        <v>4</v>
      </c>
      <c r="H421">
        <v>99.99</v>
      </c>
      <c r="J421" t="s">
        <v>57</v>
      </c>
      <c r="K421" t="s">
        <v>45</v>
      </c>
      <c r="L421" t="s">
        <v>35</v>
      </c>
    </row>
    <row r="422" spans="1:12" x14ac:dyDescent="0.25">
      <c r="A422">
        <v>1420</v>
      </c>
      <c r="B422" t="s">
        <v>381</v>
      </c>
      <c r="C422" t="s">
        <v>23</v>
      </c>
      <c r="D422" t="s">
        <v>81</v>
      </c>
      <c r="E422" t="s">
        <v>82</v>
      </c>
      <c r="F422" t="s">
        <v>60</v>
      </c>
      <c r="G422">
        <v>4</v>
      </c>
      <c r="H422">
        <v>4.99</v>
      </c>
      <c r="J422" t="s">
        <v>62</v>
      </c>
      <c r="K422" t="s">
        <v>28</v>
      </c>
      <c r="L422" t="s">
        <v>35</v>
      </c>
    </row>
    <row r="423" spans="1:12" x14ac:dyDescent="0.25">
      <c r="A423">
        <v>1421</v>
      </c>
      <c r="B423" t="s">
        <v>382</v>
      </c>
      <c r="C423" t="s">
        <v>70</v>
      </c>
      <c r="D423" t="s">
        <v>88</v>
      </c>
      <c r="E423" t="s">
        <v>92</v>
      </c>
      <c r="F423" t="s">
        <v>26</v>
      </c>
      <c r="G423">
        <v>5</v>
      </c>
      <c r="H423">
        <v>14.99</v>
      </c>
      <c r="J423" t="s">
        <v>33</v>
      </c>
      <c r="K423" t="s">
        <v>20</v>
      </c>
      <c r="L423" t="s">
        <v>29</v>
      </c>
    </row>
    <row r="424" spans="1:12" x14ac:dyDescent="0.25">
      <c r="A424">
        <v>1422</v>
      </c>
      <c r="B424" t="s">
        <v>383</v>
      </c>
      <c r="C424" t="s">
        <v>65</v>
      </c>
      <c r="D424" t="s">
        <v>66</v>
      </c>
      <c r="E424" t="s">
        <v>16</v>
      </c>
      <c r="F424" t="s">
        <v>17</v>
      </c>
      <c r="H424">
        <v>15.99</v>
      </c>
      <c r="J424" t="s">
        <v>62</v>
      </c>
      <c r="K424" t="s">
        <v>34</v>
      </c>
      <c r="L424" t="s">
        <v>46</v>
      </c>
    </row>
    <row r="425" spans="1:12" x14ac:dyDescent="0.25">
      <c r="A425">
        <v>1423</v>
      </c>
      <c r="B425" t="s">
        <v>384</v>
      </c>
      <c r="C425" t="s">
        <v>42</v>
      </c>
      <c r="D425" t="s">
        <v>48</v>
      </c>
      <c r="E425" t="s">
        <v>92</v>
      </c>
      <c r="F425" t="s">
        <v>26</v>
      </c>
      <c r="H425" t="s">
        <v>56</v>
      </c>
      <c r="J425" t="s">
        <v>33</v>
      </c>
      <c r="K425" t="s">
        <v>129</v>
      </c>
      <c r="L425" t="s">
        <v>29</v>
      </c>
    </row>
    <row r="426" spans="1:12" x14ac:dyDescent="0.25">
      <c r="A426">
        <v>1424</v>
      </c>
      <c r="B426" t="s">
        <v>385</v>
      </c>
      <c r="C426" t="s">
        <v>65</v>
      </c>
      <c r="D426" t="s">
        <v>126</v>
      </c>
      <c r="E426" t="s">
        <v>31</v>
      </c>
      <c r="F426" t="s">
        <v>32</v>
      </c>
      <c r="G426">
        <v>5</v>
      </c>
      <c r="H426">
        <v>79.989999999999995</v>
      </c>
      <c r="J426" t="s">
        <v>57</v>
      </c>
      <c r="K426" t="s">
        <v>45</v>
      </c>
      <c r="L426" t="s">
        <v>21</v>
      </c>
    </row>
    <row r="427" spans="1:12" x14ac:dyDescent="0.25">
      <c r="A427">
        <v>1425</v>
      </c>
      <c r="B427" t="s">
        <v>386</v>
      </c>
      <c r="C427" t="s">
        <v>77</v>
      </c>
      <c r="D427" t="s">
        <v>114</v>
      </c>
      <c r="E427" t="s">
        <v>85</v>
      </c>
      <c r="F427" t="s">
        <v>26</v>
      </c>
      <c r="G427">
        <v>4</v>
      </c>
      <c r="H427" t="s">
        <v>86</v>
      </c>
      <c r="J427" t="s">
        <v>19</v>
      </c>
      <c r="K427" t="s">
        <v>55</v>
      </c>
      <c r="L427" t="s">
        <v>35</v>
      </c>
    </row>
    <row r="428" spans="1:12" x14ac:dyDescent="0.25">
      <c r="A428">
        <v>1426</v>
      </c>
      <c r="B428" t="s">
        <v>387</v>
      </c>
      <c r="C428" t="s">
        <v>42</v>
      </c>
      <c r="D428" t="s">
        <v>43</v>
      </c>
      <c r="E428" t="s">
        <v>16</v>
      </c>
      <c r="F428" t="s">
        <v>17</v>
      </c>
      <c r="G428">
        <v>3</v>
      </c>
      <c r="H428">
        <v>15.99</v>
      </c>
      <c r="J428" t="s">
        <v>62</v>
      </c>
      <c r="K428" t="s">
        <v>129</v>
      </c>
      <c r="L428" t="s">
        <v>29</v>
      </c>
    </row>
    <row r="429" spans="1:12" x14ac:dyDescent="0.25">
      <c r="A429">
        <v>1427</v>
      </c>
      <c r="B429" t="s">
        <v>388</v>
      </c>
      <c r="C429" t="s">
        <v>37</v>
      </c>
      <c r="D429" t="s">
        <v>169</v>
      </c>
      <c r="E429" t="s">
        <v>31</v>
      </c>
      <c r="F429" t="s">
        <v>32</v>
      </c>
      <c r="H429">
        <v>79.989999999999995</v>
      </c>
      <c r="J429" t="s">
        <v>62</v>
      </c>
      <c r="K429" t="s">
        <v>129</v>
      </c>
      <c r="L429" t="s">
        <v>46</v>
      </c>
    </row>
    <row r="430" spans="1:12" x14ac:dyDescent="0.25">
      <c r="A430">
        <v>1428</v>
      </c>
      <c r="B430" t="s">
        <v>377</v>
      </c>
      <c r="C430" t="s">
        <v>37</v>
      </c>
      <c r="D430" t="s">
        <v>38</v>
      </c>
      <c r="E430" t="s">
        <v>44</v>
      </c>
      <c r="F430" t="s">
        <v>17</v>
      </c>
      <c r="G430">
        <v>3</v>
      </c>
      <c r="H430">
        <v>15.99</v>
      </c>
      <c r="J430" t="s">
        <v>62</v>
      </c>
      <c r="K430" t="s">
        <v>129</v>
      </c>
      <c r="L430" t="s">
        <v>21</v>
      </c>
    </row>
    <row r="431" spans="1:12" x14ac:dyDescent="0.25">
      <c r="A431">
        <v>1429</v>
      </c>
      <c r="B431" t="s">
        <v>389</v>
      </c>
      <c r="C431" t="s">
        <v>37</v>
      </c>
      <c r="D431" t="s">
        <v>162</v>
      </c>
      <c r="E431" t="s">
        <v>31</v>
      </c>
      <c r="F431" t="s">
        <v>32</v>
      </c>
      <c r="G431">
        <v>4</v>
      </c>
      <c r="H431">
        <v>79.989999999999995</v>
      </c>
      <c r="J431" t="s">
        <v>57</v>
      </c>
      <c r="K431" t="s">
        <v>28</v>
      </c>
      <c r="L431" t="s">
        <v>29</v>
      </c>
    </row>
    <row r="432" spans="1:12" x14ac:dyDescent="0.25">
      <c r="A432">
        <v>1430</v>
      </c>
      <c r="B432" t="s">
        <v>390</v>
      </c>
      <c r="D432" t="s">
        <v>116</v>
      </c>
      <c r="E432" t="s">
        <v>16</v>
      </c>
      <c r="F432" t="s">
        <v>17</v>
      </c>
      <c r="G432">
        <v>3</v>
      </c>
      <c r="H432">
        <v>15.99</v>
      </c>
      <c r="J432" t="s">
        <v>27</v>
      </c>
      <c r="K432" t="s">
        <v>55</v>
      </c>
      <c r="L432" t="s">
        <v>40</v>
      </c>
    </row>
    <row r="433" spans="1:12" x14ac:dyDescent="0.25">
      <c r="A433">
        <v>1431</v>
      </c>
      <c r="B433" t="s">
        <v>51</v>
      </c>
      <c r="C433" t="s">
        <v>14</v>
      </c>
      <c r="D433" t="s">
        <v>15</v>
      </c>
      <c r="E433" t="s">
        <v>44</v>
      </c>
      <c r="F433" t="s">
        <v>17</v>
      </c>
      <c r="G433">
        <v>-1</v>
      </c>
      <c r="H433">
        <v>15.99</v>
      </c>
      <c r="J433" t="s">
        <v>57</v>
      </c>
      <c r="K433" t="s">
        <v>20</v>
      </c>
      <c r="L433" t="s">
        <v>29</v>
      </c>
    </row>
    <row r="434" spans="1:12" x14ac:dyDescent="0.25">
      <c r="A434">
        <v>1432</v>
      </c>
      <c r="B434" t="s">
        <v>391</v>
      </c>
      <c r="C434" t="s">
        <v>37</v>
      </c>
      <c r="D434" t="s">
        <v>38</v>
      </c>
      <c r="E434" t="s">
        <v>92</v>
      </c>
      <c r="F434" t="s">
        <v>26</v>
      </c>
      <c r="G434">
        <v>1</v>
      </c>
      <c r="H434">
        <v>14.99</v>
      </c>
      <c r="J434" t="s">
        <v>33</v>
      </c>
      <c r="K434" t="s">
        <v>50</v>
      </c>
      <c r="L434" t="s">
        <v>40</v>
      </c>
    </row>
    <row r="435" spans="1:12" x14ac:dyDescent="0.25">
      <c r="A435">
        <v>1433</v>
      </c>
      <c r="C435" t="s">
        <v>23</v>
      </c>
      <c r="D435" t="s">
        <v>81</v>
      </c>
      <c r="E435" t="s">
        <v>52</v>
      </c>
      <c r="F435" t="s">
        <v>53</v>
      </c>
      <c r="G435">
        <v>-1</v>
      </c>
      <c r="H435">
        <v>59.99</v>
      </c>
      <c r="J435" t="s">
        <v>33</v>
      </c>
      <c r="K435" t="s">
        <v>34</v>
      </c>
      <c r="L435" t="s">
        <v>29</v>
      </c>
    </row>
    <row r="436" spans="1:12" x14ac:dyDescent="0.25">
      <c r="A436">
        <v>1434</v>
      </c>
      <c r="C436" t="s">
        <v>42</v>
      </c>
      <c r="D436" t="s">
        <v>43</v>
      </c>
      <c r="E436" t="s">
        <v>31</v>
      </c>
      <c r="F436" t="s">
        <v>32</v>
      </c>
      <c r="G436">
        <v>2</v>
      </c>
      <c r="H436" t="s">
        <v>125</v>
      </c>
      <c r="J436" t="s">
        <v>33</v>
      </c>
      <c r="K436" t="s">
        <v>129</v>
      </c>
      <c r="L436" t="s">
        <v>35</v>
      </c>
    </row>
    <row r="437" spans="1:12" x14ac:dyDescent="0.25">
      <c r="A437">
        <v>1435</v>
      </c>
      <c r="B437" t="s">
        <v>392</v>
      </c>
      <c r="C437" t="s">
        <v>77</v>
      </c>
      <c r="D437" t="s">
        <v>114</v>
      </c>
      <c r="E437" t="s">
        <v>95</v>
      </c>
      <c r="F437" t="s">
        <v>73</v>
      </c>
      <c r="G437">
        <v>5</v>
      </c>
      <c r="H437" t="s">
        <v>137</v>
      </c>
      <c r="J437" t="s">
        <v>19</v>
      </c>
      <c r="K437" t="s">
        <v>129</v>
      </c>
      <c r="L437" t="s">
        <v>46</v>
      </c>
    </row>
    <row r="438" spans="1:12" x14ac:dyDescent="0.25">
      <c r="A438">
        <v>1436</v>
      </c>
      <c r="B438" t="s">
        <v>393</v>
      </c>
      <c r="C438" t="s">
        <v>65</v>
      </c>
      <c r="D438" t="s">
        <v>66</v>
      </c>
      <c r="E438" t="s">
        <v>82</v>
      </c>
      <c r="F438" t="s">
        <v>60</v>
      </c>
      <c r="G438">
        <v>2</v>
      </c>
      <c r="H438">
        <v>4.99</v>
      </c>
      <c r="J438" t="s">
        <v>19</v>
      </c>
      <c r="K438" t="s">
        <v>28</v>
      </c>
      <c r="L438" t="s">
        <v>35</v>
      </c>
    </row>
    <row r="439" spans="1:12" x14ac:dyDescent="0.25">
      <c r="C439" t="s">
        <v>14</v>
      </c>
      <c r="D439" t="s">
        <v>15</v>
      </c>
      <c r="E439" t="s">
        <v>39</v>
      </c>
      <c r="F439" t="s">
        <v>17</v>
      </c>
      <c r="G439">
        <v>3</v>
      </c>
      <c r="H439" t="s">
        <v>117</v>
      </c>
      <c r="J439" t="s">
        <v>33</v>
      </c>
      <c r="K439" t="s">
        <v>45</v>
      </c>
      <c r="L439" t="s">
        <v>46</v>
      </c>
    </row>
    <row r="440" spans="1:12" x14ac:dyDescent="0.25">
      <c r="A440">
        <v>1438</v>
      </c>
      <c r="C440" t="s">
        <v>14</v>
      </c>
      <c r="D440" t="s">
        <v>84</v>
      </c>
      <c r="E440" t="s">
        <v>67</v>
      </c>
      <c r="F440" t="s">
        <v>32</v>
      </c>
      <c r="G440">
        <v>5</v>
      </c>
      <c r="H440">
        <v>79.989999999999995</v>
      </c>
      <c r="J440" t="s">
        <v>19</v>
      </c>
      <c r="K440" t="s">
        <v>34</v>
      </c>
      <c r="L440" t="s">
        <v>46</v>
      </c>
    </row>
    <row r="441" spans="1:12" x14ac:dyDescent="0.25">
      <c r="B441" t="s">
        <v>121</v>
      </c>
      <c r="C441" t="s">
        <v>14</v>
      </c>
      <c r="D441" t="s">
        <v>15</v>
      </c>
      <c r="E441" t="s">
        <v>85</v>
      </c>
      <c r="F441" t="s">
        <v>26</v>
      </c>
      <c r="G441">
        <v>1</v>
      </c>
      <c r="H441" t="s">
        <v>86</v>
      </c>
      <c r="J441" t="s">
        <v>27</v>
      </c>
      <c r="K441" t="s">
        <v>45</v>
      </c>
      <c r="L441" t="s">
        <v>21</v>
      </c>
    </row>
    <row r="442" spans="1:12" x14ac:dyDescent="0.25">
      <c r="A442">
        <v>1440</v>
      </c>
      <c r="B442" t="s">
        <v>394</v>
      </c>
      <c r="C442" t="s">
        <v>70</v>
      </c>
      <c r="D442" t="s">
        <v>131</v>
      </c>
      <c r="E442" t="s">
        <v>89</v>
      </c>
      <c r="F442" t="s">
        <v>17</v>
      </c>
      <c r="H442">
        <v>39.99</v>
      </c>
      <c r="J442" t="s">
        <v>33</v>
      </c>
      <c r="K442" t="s">
        <v>45</v>
      </c>
      <c r="L442" t="s">
        <v>35</v>
      </c>
    </row>
    <row r="443" spans="1:12" x14ac:dyDescent="0.25">
      <c r="A443">
        <v>1441</v>
      </c>
      <c r="B443" t="s">
        <v>143</v>
      </c>
      <c r="C443" t="s">
        <v>77</v>
      </c>
      <c r="D443" t="s">
        <v>114</v>
      </c>
      <c r="E443" t="s">
        <v>39</v>
      </c>
      <c r="F443" t="s">
        <v>17</v>
      </c>
      <c r="G443">
        <v>3</v>
      </c>
      <c r="H443">
        <v>39.99</v>
      </c>
      <c r="J443" t="s">
        <v>57</v>
      </c>
      <c r="K443" t="s">
        <v>129</v>
      </c>
      <c r="L443" t="s">
        <v>40</v>
      </c>
    </row>
    <row r="444" spans="1:12" x14ac:dyDescent="0.25">
      <c r="A444">
        <v>1442</v>
      </c>
      <c r="B444" t="s">
        <v>395</v>
      </c>
      <c r="C444" t="s">
        <v>23</v>
      </c>
      <c r="D444" t="s">
        <v>124</v>
      </c>
      <c r="E444" t="s">
        <v>39</v>
      </c>
      <c r="F444" t="s">
        <v>17</v>
      </c>
      <c r="G444">
        <v>-1</v>
      </c>
      <c r="H444">
        <v>39.99</v>
      </c>
      <c r="J444" t="s">
        <v>33</v>
      </c>
      <c r="K444" t="s">
        <v>45</v>
      </c>
      <c r="L444" t="s">
        <v>40</v>
      </c>
    </row>
    <row r="445" spans="1:12" x14ac:dyDescent="0.25">
      <c r="A445">
        <v>1443</v>
      </c>
      <c r="B445" t="s">
        <v>330</v>
      </c>
      <c r="C445" t="s">
        <v>65</v>
      </c>
      <c r="D445" t="s">
        <v>126</v>
      </c>
      <c r="E445" t="s">
        <v>212</v>
      </c>
      <c r="F445" t="s">
        <v>53</v>
      </c>
      <c r="G445">
        <v>3</v>
      </c>
      <c r="H445">
        <v>59.99</v>
      </c>
      <c r="J445" t="s">
        <v>54</v>
      </c>
      <c r="K445" t="s">
        <v>28</v>
      </c>
      <c r="L445" t="s">
        <v>35</v>
      </c>
    </row>
    <row r="446" spans="1:12" x14ac:dyDescent="0.25">
      <c r="A446">
        <v>1444</v>
      </c>
      <c r="B446" t="s">
        <v>396</v>
      </c>
      <c r="C446" t="s">
        <v>42</v>
      </c>
      <c r="D446" t="s">
        <v>106</v>
      </c>
      <c r="E446" t="s">
        <v>107</v>
      </c>
      <c r="F446" t="s">
        <v>73</v>
      </c>
      <c r="G446">
        <v>4</v>
      </c>
      <c r="H446">
        <v>49.99</v>
      </c>
      <c r="J446" t="s">
        <v>57</v>
      </c>
      <c r="K446" t="s">
        <v>28</v>
      </c>
      <c r="L446" t="s">
        <v>40</v>
      </c>
    </row>
    <row r="447" spans="1:12" x14ac:dyDescent="0.25">
      <c r="A447">
        <v>1445</v>
      </c>
      <c r="B447" t="s">
        <v>397</v>
      </c>
      <c r="C447" t="s">
        <v>70</v>
      </c>
      <c r="D447" t="s">
        <v>131</v>
      </c>
      <c r="E447" t="s">
        <v>127</v>
      </c>
      <c r="F447" t="s">
        <v>73</v>
      </c>
      <c r="G447">
        <v>-1</v>
      </c>
      <c r="H447">
        <v>29.99</v>
      </c>
      <c r="J447" t="s">
        <v>54</v>
      </c>
      <c r="K447" t="s">
        <v>55</v>
      </c>
      <c r="L447" t="s">
        <v>35</v>
      </c>
    </row>
    <row r="448" spans="1:12" x14ac:dyDescent="0.25">
      <c r="A448">
        <v>1446</v>
      </c>
      <c r="B448" t="s">
        <v>398</v>
      </c>
      <c r="C448" t="s">
        <v>77</v>
      </c>
      <c r="D448" t="s">
        <v>91</v>
      </c>
      <c r="E448" t="s">
        <v>85</v>
      </c>
      <c r="F448" t="s">
        <v>26</v>
      </c>
      <c r="G448">
        <v>4</v>
      </c>
      <c r="H448">
        <v>99.99</v>
      </c>
      <c r="J448" t="s">
        <v>62</v>
      </c>
      <c r="K448" t="s">
        <v>55</v>
      </c>
      <c r="L448" t="s">
        <v>40</v>
      </c>
    </row>
    <row r="449" spans="1:13" x14ac:dyDescent="0.25">
      <c r="A449">
        <v>1447</v>
      </c>
      <c r="B449" t="s">
        <v>399</v>
      </c>
      <c r="C449" t="s">
        <v>77</v>
      </c>
      <c r="D449" t="s">
        <v>78</v>
      </c>
      <c r="E449" t="s">
        <v>85</v>
      </c>
      <c r="F449" t="s">
        <v>26</v>
      </c>
      <c r="G449">
        <v>1</v>
      </c>
      <c r="H449">
        <v>99.99</v>
      </c>
      <c r="J449" t="s">
        <v>33</v>
      </c>
      <c r="K449" t="s">
        <v>20</v>
      </c>
      <c r="L449" t="s">
        <v>35</v>
      </c>
    </row>
    <row r="450" spans="1:13" x14ac:dyDescent="0.25">
      <c r="A450">
        <v>1448</v>
      </c>
      <c r="B450" t="s">
        <v>400</v>
      </c>
      <c r="C450" t="s">
        <v>23</v>
      </c>
      <c r="D450" t="s">
        <v>24</v>
      </c>
      <c r="E450" t="s">
        <v>16</v>
      </c>
      <c r="F450" t="s">
        <v>17</v>
      </c>
      <c r="G450">
        <v>4</v>
      </c>
      <c r="H450">
        <v>15.99</v>
      </c>
      <c r="J450" t="s">
        <v>27</v>
      </c>
      <c r="K450" t="s">
        <v>20</v>
      </c>
      <c r="L450" t="s">
        <v>35</v>
      </c>
    </row>
    <row r="451" spans="1:13" x14ac:dyDescent="0.25">
      <c r="A451">
        <v>1449</v>
      </c>
      <c r="C451" t="s">
        <v>23</v>
      </c>
      <c r="D451" t="s">
        <v>81</v>
      </c>
      <c r="E451" t="s">
        <v>72</v>
      </c>
      <c r="F451" t="s">
        <v>73</v>
      </c>
      <c r="G451">
        <v>3</v>
      </c>
      <c r="H451">
        <v>49.99</v>
      </c>
      <c r="J451" t="s">
        <v>27</v>
      </c>
      <c r="K451" t="s">
        <v>20</v>
      </c>
      <c r="L451" t="s">
        <v>21</v>
      </c>
    </row>
    <row r="452" spans="1:13" x14ac:dyDescent="0.25">
      <c r="A452">
        <v>1450</v>
      </c>
      <c r="C452" t="s">
        <v>70</v>
      </c>
      <c r="D452" t="s">
        <v>71</v>
      </c>
      <c r="E452" t="s">
        <v>16</v>
      </c>
      <c r="F452" t="s">
        <v>17</v>
      </c>
      <c r="H452">
        <v>15.99</v>
      </c>
      <c r="J452" t="s">
        <v>19</v>
      </c>
      <c r="K452" t="s">
        <v>50</v>
      </c>
      <c r="L452" t="s">
        <v>46</v>
      </c>
    </row>
    <row r="453" spans="1:13" x14ac:dyDescent="0.25">
      <c r="A453">
        <v>1451</v>
      </c>
      <c r="B453" t="s">
        <v>203</v>
      </c>
      <c r="C453" t="s">
        <v>42</v>
      </c>
      <c r="D453" t="s">
        <v>401</v>
      </c>
      <c r="E453" t="s">
        <v>52</v>
      </c>
      <c r="F453" t="s">
        <v>53</v>
      </c>
      <c r="G453">
        <v>4</v>
      </c>
      <c r="H453">
        <v>59.99</v>
      </c>
      <c r="J453" t="s">
        <v>62</v>
      </c>
      <c r="K453" t="s">
        <v>34</v>
      </c>
      <c r="L453" t="s">
        <v>29</v>
      </c>
    </row>
    <row r="454" spans="1:13" x14ac:dyDescent="0.25">
      <c r="A454">
        <v>1452</v>
      </c>
      <c r="B454" t="s">
        <v>362</v>
      </c>
      <c r="C454" t="s">
        <v>23</v>
      </c>
      <c r="D454" t="s">
        <v>81</v>
      </c>
      <c r="E454" t="s">
        <v>95</v>
      </c>
      <c r="F454" t="s">
        <v>73</v>
      </c>
      <c r="G454">
        <v>1</v>
      </c>
      <c r="H454">
        <v>29.99</v>
      </c>
      <c r="J454" t="s">
        <v>57</v>
      </c>
      <c r="K454" t="s">
        <v>45</v>
      </c>
      <c r="L454" t="s">
        <v>35</v>
      </c>
    </row>
    <row r="455" spans="1:13" x14ac:dyDescent="0.25">
      <c r="A455">
        <v>1453</v>
      </c>
      <c r="B455" t="s">
        <v>402</v>
      </c>
      <c r="C455" t="s">
        <v>37</v>
      </c>
      <c r="D455" t="s">
        <v>162</v>
      </c>
      <c r="E455" t="s">
        <v>52</v>
      </c>
      <c r="F455" t="s">
        <v>53</v>
      </c>
      <c r="G455">
        <v>-1</v>
      </c>
      <c r="H455">
        <v>59.99</v>
      </c>
      <c r="J455" t="s">
        <v>57</v>
      </c>
      <c r="K455" t="s">
        <v>55</v>
      </c>
      <c r="L455" t="s">
        <v>21</v>
      </c>
    </row>
    <row r="456" spans="1:13" x14ac:dyDescent="0.25">
      <c r="A456">
        <v>1454</v>
      </c>
      <c r="B456" t="s">
        <v>403</v>
      </c>
      <c r="C456" t="s">
        <v>42</v>
      </c>
      <c r="D456" t="s">
        <v>116</v>
      </c>
      <c r="E456" t="s">
        <v>127</v>
      </c>
      <c r="F456" t="s">
        <v>73</v>
      </c>
      <c r="G456">
        <v>1</v>
      </c>
      <c r="H456" t="s">
        <v>137</v>
      </c>
      <c r="J456" t="s">
        <v>19</v>
      </c>
      <c r="K456" t="s">
        <v>20</v>
      </c>
      <c r="L456" t="s">
        <v>35</v>
      </c>
    </row>
    <row r="457" spans="1:13" x14ac:dyDescent="0.25">
      <c r="A457">
        <v>1455</v>
      </c>
      <c r="B457" t="s">
        <v>404</v>
      </c>
      <c r="C457" t="s">
        <v>77</v>
      </c>
      <c r="D457" t="s">
        <v>114</v>
      </c>
      <c r="E457" t="s">
        <v>72</v>
      </c>
      <c r="F457" t="s">
        <v>73</v>
      </c>
      <c r="H457">
        <v>49.99</v>
      </c>
      <c r="J457" t="s">
        <v>27</v>
      </c>
      <c r="K457" t="s">
        <v>20</v>
      </c>
      <c r="L457" t="s">
        <v>21</v>
      </c>
    </row>
    <row r="458" spans="1:13" x14ac:dyDescent="0.25">
      <c r="A458">
        <v>1456</v>
      </c>
      <c r="B458" t="s">
        <v>405</v>
      </c>
      <c r="C458" t="s">
        <v>65</v>
      </c>
      <c r="D458" t="s">
        <v>123</v>
      </c>
      <c r="E458" t="s">
        <v>44</v>
      </c>
      <c r="F458" t="s">
        <v>17</v>
      </c>
      <c r="G458">
        <v>-1</v>
      </c>
      <c r="H458">
        <v>15.99</v>
      </c>
      <c r="J458" t="s">
        <v>62</v>
      </c>
      <c r="K458" t="s">
        <v>129</v>
      </c>
      <c r="L458" t="s">
        <v>29</v>
      </c>
    </row>
    <row r="459" spans="1:13" x14ac:dyDescent="0.25">
      <c r="A459">
        <v>1457</v>
      </c>
      <c r="C459" t="s">
        <v>14</v>
      </c>
      <c r="D459" t="s">
        <v>15</v>
      </c>
      <c r="E459" t="s">
        <v>31</v>
      </c>
      <c r="F459" t="s">
        <v>32</v>
      </c>
      <c r="H459" t="s">
        <v>125</v>
      </c>
      <c r="J459" t="s">
        <v>54</v>
      </c>
      <c r="K459" t="s">
        <v>20</v>
      </c>
      <c r="L459" t="s">
        <v>46</v>
      </c>
    </row>
    <row r="460" spans="1:13" x14ac:dyDescent="0.25">
      <c r="A460">
        <v>1458</v>
      </c>
      <c r="B460" t="s">
        <v>406</v>
      </c>
      <c r="C460" t="s">
        <v>42</v>
      </c>
      <c r="D460" t="s">
        <v>43</v>
      </c>
      <c r="E460" t="s">
        <v>72</v>
      </c>
      <c r="F460" t="s">
        <v>73</v>
      </c>
      <c r="G460">
        <v>5</v>
      </c>
      <c r="H460">
        <v>49.99</v>
      </c>
      <c r="J460" t="s">
        <v>57</v>
      </c>
      <c r="K460" t="s">
        <v>45</v>
      </c>
      <c r="L460" t="s">
        <v>35</v>
      </c>
      <c r="M460" t="s">
        <v>63</v>
      </c>
    </row>
    <row r="461" spans="1:13" x14ac:dyDescent="0.25">
      <c r="A461">
        <v>1459</v>
      </c>
      <c r="C461" t="s">
        <v>65</v>
      </c>
      <c r="D461" t="s">
        <v>126</v>
      </c>
      <c r="E461" t="s">
        <v>25</v>
      </c>
      <c r="F461" t="s">
        <v>26</v>
      </c>
      <c r="G461">
        <v>4</v>
      </c>
      <c r="H461">
        <v>99.99</v>
      </c>
      <c r="J461" t="s">
        <v>62</v>
      </c>
      <c r="K461" t="s">
        <v>55</v>
      </c>
      <c r="L461" t="s">
        <v>46</v>
      </c>
    </row>
    <row r="462" spans="1:13" x14ac:dyDescent="0.25">
      <c r="A462">
        <v>1460</v>
      </c>
      <c r="B462" t="s">
        <v>30</v>
      </c>
      <c r="C462" t="s">
        <v>65</v>
      </c>
      <c r="D462" t="s">
        <v>126</v>
      </c>
      <c r="E462" t="s">
        <v>49</v>
      </c>
      <c r="F462" t="s">
        <v>26</v>
      </c>
      <c r="G462">
        <v>1</v>
      </c>
      <c r="H462" t="s">
        <v>56</v>
      </c>
      <c r="J462" t="s">
        <v>62</v>
      </c>
      <c r="K462" t="s">
        <v>55</v>
      </c>
      <c r="L462" t="s">
        <v>35</v>
      </c>
    </row>
    <row r="463" spans="1:13" x14ac:dyDescent="0.25">
      <c r="A463">
        <v>1461</v>
      </c>
      <c r="B463" t="s">
        <v>407</v>
      </c>
      <c r="C463" t="s">
        <v>42</v>
      </c>
      <c r="D463" t="s">
        <v>48</v>
      </c>
      <c r="E463" t="s">
        <v>95</v>
      </c>
      <c r="F463" t="s">
        <v>73</v>
      </c>
      <c r="G463">
        <v>1</v>
      </c>
      <c r="H463">
        <v>29.99</v>
      </c>
      <c r="J463" t="s">
        <v>33</v>
      </c>
      <c r="K463" t="s">
        <v>50</v>
      </c>
      <c r="L463" t="s">
        <v>35</v>
      </c>
    </row>
    <row r="464" spans="1:13" x14ac:dyDescent="0.25">
      <c r="A464">
        <v>1462</v>
      </c>
      <c r="B464" t="s">
        <v>408</v>
      </c>
      <c r="C464" t="s">
        <v>42</v>
      </c>
      <c r="D464" t="s">
        <v>48</v>
      </c>
      <c r="E464" t="s">
        <v>49</v>
      </c>
      <c r="F464" t="s">
        <v>26</v>
      </c>
      <c r="G464">
        <v>4</v>
      </c>
      <c r="H464" t="s">
        <v>56</v>
      </c>
      <c r="J464" t="s">
        <v>54</v>
      </c>
      <c r="K464" t="s">
        <v>129</v>
      </c>
      <c r="L464" t="s">
        <v>21</v>
      </c>
    </row>
    <row r="465" spans="1:13" x14ac:dyDescent="0.25">
      <c r="A465">
        <v>1463</v>
      </c>
      <c r="B465" t="s">
        <v>409</v>
      </c>
      <c r="C465" t="s">
        <v>65</v>
      </c>
      <c r="D465" t="s">
        <v>123</v>
      </c>
      <c r="E465" t="s">
        <v>107</v>
      </c>
      <c r="F465" t="s">
        <v>73</v>
      </c>
      <c r="H465">
        <v>49.99</v>
      </c>
      <c r="J465" t="s">
        <v>57</v>
      </c>
      <c r="K465" t="s">
        <v>129</v>
      </c>
      <c r="L465" t="s">
        <v>35</v>
      </c>
      <c r="M465" t="s">
        <v>63</v>
      </c>
    </row>
    <row r="466" spans="1:13" x14ac:dyDescent="0.25">
      <c r="A466">
        <v>1464</v>
      </c>
      <c r="B466" t="s">
        <v>410</v>
      </c>
      <c r="C466" t="s">
        <v>77</v>
      </c>
      <c r="E466" t="s">
        <v>127</v>
      </c>
      <c r="F466" t="s">
        <v>73</v>
      </c>
      <c r="G466">
        <v>3</v>
      </c>
      <c r="H466">
        <v>29.99</v>
      </c>
      <c r="J466" t="s">
        <v>54</v>
      </c>
      <c r="K466" t="s">
        <v>20</v>
      </c>
      <c r="L466" t="s">
        <v>21</v>
      </c>
    </row>
    <row r="467" spans="1:13" x14ac:dyDescent="0.25">
      <c r="A467">
        <v>1465</v>
      </c>
      <c r="C467" t="s">
        <v>70</v>
      </c>
      <c r="D467" t="s">
        <v>88</v>
      </c>
      <c r="E467" t="s">
        <v>82</v>
      </c>
      <c r="F467" t="s">
        <v>60</v>
      </c>
      <c r="G467">
        <v>4</v>
      </c>
      <c r="H467" t="s">
        <v>61</v>
      </c>
      <c r="J467" t="s">
        <v>54</v>
      </c>
      <c r="K467" t="s">
        <v>129</v>
      </c>
      <c r="L467" t="s">
        <v>29</v>
      </c>
    </row>
    <row r="468" spans="1:13" x14ac:dyDescent="0.25">
      <c r="C468" t="s">
        <v>37</v>
      </c>
      <c r="D468" t="s">
        <v>309</v>
      </c>
      <c r="E468" t="s">
        <v>72</v>
      </c>
      <c r="F468" t="s">
        <v>73</v>
      </c>
      <c r="H468">
        <v>49.99</v>
      </c>
      <c r="J468" t="s">
        <v>19</v>
      </c>
      <c r="K468" t="s">
        <v>55</v>
      </c>
      <c r="L468" t="s">
        <v>46</v>
      </c>
    </row>
    <row r="469" spans="1:13" x14ac:dyDescent="0.25">
      <c r="A469">
        <v>1467</v>
      </c>
      <c r="C469" t="s">
        <v>14</v>
      </c>
      <c r="D469" t="s">
        <v>322</v>
      </c>
      <c r="E469" t="s">
        <v>52</v>
      </c>
      <c r="F469" t="s">
        <v>53</v>
      </c>
      <c r="G469">
        <v>2</v>
      </c>
      <c r="H469">
        <v>59.99</v>
      </c>
      <c r="J469" t="s">
        <v>33</v>
      </c>
      <c r="K469" t="s">
        <v>68</v>
      </c>
      <c r="L469" t="s">
        <v>40</v>
      </c>
      <c r="M469" t="s">
        <v>63</v>
      </c>
    </row>
    <row r="470" spans="1:13" x14ac:dyDescent="0.25">
      <c r="A470">
        <v>1468</v>
      </c>
      <c r="B470" t="s">
        <v>389</v>
      </c>
      <c r="C470" t="s">
        <v>37</v>
      </c>
      <c r="D470" t="s">
        <v>162</v>
      </c>
      <c r="E470" t="s">
        <v>127</v>
      </c>
      <c r="F470" t="s">
        <v>73</v>
      </c>
      <c r="H470" t="s">
        <v>137</v>
      </c>
      <c r="J470" t="s">
        <v>33</v>
      </c>
      <c r="K470" t="s">
        <v>45</v>
      </c>
      <c r="L470" t="s">
        <v>21</v>
      </c>
    </row>
    <row r="471" spans="1:13" x14ac:dyDescent="0.25">
      <c r="A471">
        <v>1469</v>
      </c>
      <c r="B471" t="s">
        <v>411</v>
      </c>
      <c r="C471" t="s">
        <v>23</v>
      </c>
      <c r="D471" t="s">
        <v>124</v>
      </c>
      <c r="E471" t="s">
        <v>92</v>
      </c>
      <c r="F471" t="s">
        <v>26</v>
      </c>
      <c r="H471">
        <v>14.99</v>
      </c>
      <c r="J471" t="s">
        <v>19</v>
      </c>
      <c r="K471" t="s">
        <v>28</v>
      </c>
      <c r="L471" t="s">
        <v>29</v>
      </c>
    </row>
    <row r="472" spans="1:13" x14ac:dyDescent="0.25">
      <c r="A472">
        <v>1470</v>
      </c>
      <c r="B472" t="s">
        <v>364</v>
      </c>
      <c r="C472" t="s">
        <v>14</v>
      </c>
      <c r="D472" t="s">
        <v>15</v>
      </c>
      <c r="E472" t="s">
        <v>85</v>
      </c>
      <c r="F472" t="s">
        <v>26</v>
      </c>
      <c r="H472">
        <v>99.99</v>
      </c>
      <c r="J472" t="s">
        <v>54</v>
      </c>
      <c r="K472" t="s">
        <v>68</v>
      </c>
      <c r="L472" t="s">
        <v>40</v>
      </c>
    </row>
    <row r="473" spans="1:13" x14ac:dyDescent="0.25">
      <c r="B473" t="s">
        <v>412</v>
      </c>
      <c r="C473" t="s">
        <v>23</v>
      </c>
      <c r="D473" t="s">
        <v>24</v>
      </c>
      <c r="E473" t="s">
        <v>52</v>
      </c>
      <c r="F473" t="s">
        <v>53</v>
      </c>
      <c r="H473">
        <v>59.99</v>
      </c>
      <c r="J473" t="s">
        <v>19</v>
      </c>
      <c r="K473" t="s">
        <v>45</v>
      </c>
      <c r="L473" t="s">
        <v>46</v>
      </c>
    </row>
    <row r="474" spans="1:13" x14ac:dyDescent="0.25">
      <c r="A474">
        <v>1472</v>
      </c>
      <c r="B474" t="s">
        <v>413</v>
      </c>
      <c r="C474" t="s">
        <v>23</v>
      </c>
      <c r="D474" t="s">
        <v>81</v>
      </c>
      <c r="E474" t="s">
        <v>25</v>
      </c>
      <c r="F474" t="s">
        <v>26</v>
      </c>
      <c r="G474">
        <v>2</v>
      </c>
      <c r="H474">
        <v>99.99</v>
      </c>
      <c r="J474" t="s">
        <v>57</v>
      </c>
      <c r="K474" t="s">
        <v>55</v>
      </c>
      <c r="L474" t="s">
        <v>29</v>
      </c>
    </row>
    <row r="475" spans="1:13" x14ac:dyDescent="0.25">
      <c r="A475">
        <v>1473</v>
      </c>
      <c r="B475" t="s">
        <v>414</v>
      </c>
      <c r="C475" t="s">
        <v>77</v>
      </c>
      <c r="D475" t="s">
        <v>120</v>
      </c>
      <c r="E475" t="s">
        <v>44</v>
      </c>
      <c r="F475" t="s">
        <v>17</v>
      </c>
      <c r="H475">
        <v>15.99</v>
      </c>
      <c r="J475" t="s">
        <v>57</v>
      </c>
      <c r="K475" t="s">
        <v>28</v>
      </c>
      <c r="L475" t="s">
        <v>21</v>
      </c>
    </row>
    <row r="476" spans="1:13" x14ac:dyDescent="0.25">
      <c r="A476">
        <v>1474</v>
      </c>
      <c r="C476" t="s">
        <v>42</v>
      </c>
      <c r="D476" t="s">
        <v>116</v>
      </c>
      <c r="E476" t="s">
        <v>59</v>
      </c>
      <c r="F476" t="s">
        <v>60</v>
      </c>
      <c r="G476">
        <v>1</v>
      </c>
      <c r="H476" t="s">
        <v>61</v>
      </c>
      <c r="J476" t="s">
        <v>57</v>
      </c>
      <c r="K476" t="s">
        <v>50</v>
      </c>
      <c r="L476" t="s">
        <v>40</v>
      </c>
    </row>
    <row r="477" spans="1:13" x14ac:dyDescent="0.25">
      <c r="A477">
        <v>1475</v>
      </c>
      <c r="B477" t="s">
        <v>415</v>
      </c>
      <c r="C477" t="s">
        <v>14</v>
      </c>
      <c r="E477" t="s">
        <v>31</v>
      </c>
      <c r="F477" t="s">
        <v>32</v>
      </c>
      <c r="G477">
        <v>5</v>
      </c>
      <c r="H477">
        <v>79.989999999999995</v>
      </c>
      <c r="J477" t="s">
        <v>54</v>
      </c>
      <c r="K477" t="s">
        <v>28</v>
      </c>
      <c r="L477" t="s">
        <v>21</v>
      </c>
    </row>
    <row r="478" spans="1:13" x14ac:dyDescent="0.25">
      <c r="A478">
        <v>1476</v>
      </c>
      <c r="B478" t="s">
        <v>416</v>
      </c>
      <c r="C478" t="s">
        <v>23</v>
      </c>
      <c r="D478" t="s">
        <v>81</v>
      </c>
      <c r="E478" t="s">
        <v>59</v>
      </c>
      <c r="F478" t="s">
        <v>60</v>
      </c>
      <c r="G478">
        <v>1</v>
      </c>
      <c r="H478" t="s">
        <v>61</v>
      </c>
      <c r="J478" t="s">
        <v>19</v>
      </c>
      <c r="K478" t="s">
        <v>129</v>
      </c>
      <c r="L478" t="s">
        <v>40</v>
      </c>
    </row>
    <row r="479" spans="1:13" x14ac:dyDescent="0.25">
      <c r="A479">
        <v>1477</v>
      </c>
      <c r="B479" t="s">
        <v>417</v>
      </c>
      <c r="C479" t="s">
        <v>23</v>
      </c>
      <c r="D479" t="s">
        <v>81</v>
      </c>
      <c r="E479" t="s">
        <v>212</v>
      </c>
      <c r="F479" t="s">
        <v>53</v>
      </c>
      <c r="G479">
        <v>3</v>
      </c>
      <c r="H479" t="s">
        <v>97</v>
      </c>
      <c r="J479" t="s">
        <v>57</v>
      </c>
      <c r="K479" t="s">
        <v>68</v>
      </c>
      <c r="L479" t="s">
        <v>35</v>
      </c>
    </row>
    <row r="480" spans="1:13" x14ac:dyDescent="0.25">
      <c r="A480">
        <v>1478</v>
      </c>
      <c r="B480" t="s">
        <v>418</v>
      </c>
      <c r="C480" t="s">
        <v>77</v>
      </c>
      <c r="D480" t="s">
        <v>91</v>
      </c>
      <c r="E480" t="s">
        <v>31</v>
      </c>
      <c r="F480" t="s">
        <v>32</v>
      </c>
      <c r="G480">
        <v>4</v>
      </c>
      <c r="H480">
        <v>79.989999999999995</v>
      </c>
      <c r="J480" t="s">
        <v>27</v>
      </c>
      <c r="K480" t="s">
        <v>55</v>
      </c>
      <c r="L480" t="s">
        <v>35</v>
      </c>
    </row>
    <row r="481" spans="1:13" x14ac:dyDescent="0.25">
      <c r="B481" t="s">
        <v>187</v>
      </c>
      <c r="C481" t="s">
        <v>23</v>
      </c>
      <c r="D481" t="s">
        <v>24</v>
      </c>
      <c r="E481" t="s">
        <v>95</v>
      </c>
      <c r="F481" t="s">
        <v>73</v>
      </c>
      <c r="H481">
        <v>29.99</v>
      </c>
      <c r="J481" t="s">
        <v>33</v>
      </c>
      <c r="K481" t="s">
        <v>45</v>
      </c>
      <c r="L481" t="s">
        <v>21</v>
      </c>
    </row>
    <row r="482" spans="1:13" x14ac:dyDescent="0.25">
      <c r="A482">
        <v>1480</v>
      </c>
      <c r="C482" t="s">
        <v>14</v>
      </c>
      <c r="D482" t="s">
        <v>15</v>
      </c>
      <c r="E482" t="s">
        <v>82</v>
      </c>
      <c r="F482" t="s">
        <v>60</v>
      </c>
      <c r="H482">
        <v>4.99</v>
      </c>
      <c r="J482" t="s">
        <v>19</v>
      </c>
      <c r="K482" t="s">
        <v>68</v>
      </c>
      <c r="L482" t="s">
        <v>21</v>
      </c>
    </row>
    <row r="483" spans="1:13" x14ac:dyDescent="0.25">
      <c r="A483">
        <v>1481</v>
      </c>
      <c r="B483" t="s">
        <v>210</v>
      </c>
      <c r="C483" t="s">
        <v>42</v>
      </c>
      <c r="D483" t="s">
        <v>116</v>
      </c>
      <c r="E483" t="s">
        <v>107</v>
      </c>
      <c r="F483" t="s">
        <v>73</v>
      </c>
      <c r="G483">
        <v>1</v>
      </c>
      <c r="H483">
        <v>49.99</v>
      </c>
      <c r="J483" t="s">
        <v>19</v>
      </c>
      <c r="K483" t="s">
        <v>20</v>
      </c>
      <c r="L483" t="s">
        <v>35</v>
      </c>
    </row>
    <row r="484" spans="1:13" x14ac:dyDescent="0.25">
      <c r="A484">
        <v>1482</v>
      </c>
      <c r="B484" t="s">
        <v>419</v>
      </c>
      <c r="C484" t="s">
        <v>23</v>
      </c>
      <c r="D484" t="s">
        <v>24</v>
      </c>
      <c r="E484" t="s">
        <v>85</v>
      </c>
      <c r="F484" t="s">
        <v>26</v>
      </c>
      <c r="G484">
        <v>4</v>
      </c>
      <c r="H484">
        <v>99.99</v>
      </c>
      <c r="J484" t="s">
        <v>54</v>
      </c>
      <c r="K484" t="s">
        <v>68</v>
      </c>
      <c r="L484" t="s">
        <v>21</v>
      </c>
    </row>
    <row r="485" spans="1:13" x14ac:dyDescent="0.25">
      <c r="A485">
        <v>1483</v>
      </c>
      <c r="C485" t="s">
        <v>14</v>
      </c>
      <c r="D485" t="s">
        <v>84</v>
      </c>
      <c r="E485" t="s">
        <v>39</v>
      </c>
      <c r="F485" t="s">
        <v>17</v>
      </c>
      <c r="G485">
        <v>2</v>
      </c>
      <c r="H485">
        <v>39.99</v>
      </c>
      <c r="J485" t="s">
        <v>27</v>
      </c>
      <c r="K485" t="s">
        <v>28</v>
      </c>
      <c r="L485" t="s">
        <v>21</v>
      </c>
    </row>
    <row r="486" spans="1:13" x14ac:dyDescent="0.25">
      <c r="A486">
        <v>1484</v>
      </c>
      <c r="C486" t="s">
        <v>70</v>
      </c>
      <c r="D486" t="s">
        <v>131</v>
      </c>
      <c r="E486" t="s">
        <v>127</v>
      </c>
      <c r="F486" t="s">
        <v>73</v>
      </c>
      <c r="G486">
        <v>5</v>
      </c>
      <c r="H486" t="s">
        <v>137</v>
      </c>
      <c r="J486" t="s">
        <v>19</v>
      </c>
      <c r="K486" t="s">
        <v>129</v>
      </c>
      <c r="L486" t="s">
        <v>40</v>
      </c>
    </row>
    <row r="487" spans="1:13" x14ac:dyDescent="0.25">
      <c r="A487">
        <v>1485</v>
      </c>
      <c r="B487" t="s">
        <v>420</v>
      </c>
      <c r="C487" t="s">
        <v>77</v>
      </c>
      <c r="D487" t="s">
        <v>78</v>
      </c>
      <c r="E487" t="s">
        <v>31</v>
      </c>
      <c r="F487" t="s">
        <v>32</v>
      </c>
      <c r="G487">
        <v>3</v>
      </c>
      <c r="H487" t="s">
        <v>125</v>
      </c>
      <c r="J487" t="s">
        <v>57</v>
      </c>
      <c r="K487" t="s">
        <v>20</v>
      </c>
      <c r="L487" t="s">
        <v>46</v>
      </c>
    </row>
    <row r="488" spans="1:13" x14ac:dyDescent="0.25">
      <c r="A488">
        <v>1486</v>
      </c>
      <c r="B488" t="s">
        <v>302</v>
      </c>
      <c r="D488" t="s">
        <v>91</v>
      </c>
      <c r="E488" t="s">
        <v>52</v>
      </c>
      <c r="F488" t="s">
        <v>53</v>
      </c>
      <c r="G488">
        <v>1</v>
      </c>
      <c r="H488" t="s">
        <v>97</v>
      </c>
      <c r="J488" t="s">
        <v>54</v>
      </c>
      <c r="K488" t="s">
        <v>20</v>
      </c>
      <c r="L488" t="s">
        <v>40</v>
      </c>
    </row>
    <row r="489" spans="1:13" x14ac:dyDescent="0.25">
      <c r="A489">
        <v>1487</v>
      </c>
      <c r="B489" t="s">
        <v>421</v>
      </c>
      <c r="C489" t="s">
        <v>42</v>
      </c>
      <c r="D489" t="s">
        <v>116</v>
      </c>
      <c r="E489" t="s">
        <v>52</v>
      </c>
      <c r="F489" t="s">
        <v>53</v>
      </c>
      <c r="G489">
        <v>1</v>
      </c>
      <c r="H489">
        <v>59.99</v>
      </c>
      <c r="J489" t="s">
        <v>57</v>
      </c>
      <c r="K489" t="s">
        <v>20</v>
      </c>
      <c r="L489" t="s">
        <v>21</v>
      </c>
    </row>
    <row r="490" spans="1:13" x14ac:dyDescent="0.25">
      <c r="A490">
        <v>1488</v>
      </c>
      <c r="B490" t="s">
        <v>422</v>
      </c>
      <c r="D490" t="s">
        <v>131</v>
      </c>
      <c r="E490" t="s">
        <v>59</v>
      </c>
      <c r="F490" t="s">
        <v>60</v>
      </c>
      <c r="G490">
        <v>1</v>
      </c>
      <c r="H490">
        <v>4.99</v>
      </c>
      <c r="J490" t="s">
        <v>33</v>
      </c>
      <c r="K490" t="s">
        <v>129</v>
      </c>
      <c r="L490" t="s">
        <v>21</v>
      </c>
    </row>
    <row r="491" spans="1:13" x14ac:dyDescent="0.25">
      <c r="A491">
        <v>1489</v>
      </c>
      <c r="B491" t="s">
        <v>423</v>
      </c>
      <c r="C491" t="s">
        <v>14</v>
      </c>
      <c r="D491" t="s">
        <v>84</v>
      </c>
      <c r="E491" t="s">
        <v>89</v>
      </c>
      <c r="F491" t="s">
        <v>17</v>
      </c>
      <c r="G491">
        <v>4</v>
      </c>
      <c r="H491" t="s">
        <v>117</v>
      </c>
      <c r="J491" t="s">
        <v>62</v>
      </c>
      <c r="K491" t="s">
        <v>68</v>
      </c>
      <c r="L491" t="s">
        <v>29</v>
      </c>
    </row>
    <row r="492" spans="1:13" x14ac:dyDescent="0.25">
      <c r="A492">
        <v>1490</v>
      </c>
      <c r="C492" t="s">
        <v>70</v>
      </c>
      <c r="D492" t="s">
        <v>71</v>
      </c>
      <c r="E492" t="s">
        <v>16</v>
      </c>
      <c r="F492" t="s">
        <v>17</v>
      </c>
      <c r="G492">
        <v>-1</v>
      </c>
      <c r="H492">
        <v>15.99</v>
      </c>
      <c r="J492" t="s">
        <v>54</v>
      </c>
      <c r="K492" t="s">
        <v>129</v>
      </c>
      <c r="L492" t="s">
        <v>46</v>
      </c>
    </row>
    <row r="493" spans="1:13" x14ac:dyDescent="0.25">
      <c r="A493">
        <v>1491</v>
      </c>
      <c r="B493" t="s">
        <v>424</v>
      </c>
      <c r="C493" t="s">
        <v>77</v>
      </c>
      <c r="D493" t="s">
        <v>91</v>
      </c>
      <c r="E493" t="s">
        <v>25</v>
      </c>
      <c r="F493" t="s">
        <v>26</v>
      </c>
      <c r="G493">
        <v>1</v>
      </c>
      <c r="H493">
        <v>99.99</v>
      </c>
      <c r="J493" t="s">
        <v>33</v>
      </c>
      <c r="K493" t="s">
        <v>68</v>
      </c>
      <c r="L493" t="s">
        <v>40</v>
      </c>
    </row>
    <row r="494" spans="1:13" x14ac:dyDescent="0.25">
      <c r="A494">
        <v>1492</v>
      </c>
      <c r="D494" t="s">
        <v>162</v>
      </c>
      <c r="E494" t="s">
        <v>107</v>
      </c>
      <c r="F494" t="s">
        <v>73</v>
      </c>
      <c r="H494" t="s">
        <v>108</v>
      </c>
      <c r="J494" t="s">
        <v>54</v>
      </c>
      <c r="K494" t="s">
        <v>34</v>
      </c>
      <c r="L494" t="s">
        <v>46</v>
      </c>
      <c r="M494" t="s">
        <v>63</v>
      </c>
    </row>
    <row r="495" spans="1:13" x14ac:dyDescent="0.25">
      <c r="A495">
        <v>1493</v>
      </c>
      <c r="B495" t="s">
        <v>13</v>
      </c>
      <c r="C495" t="s">
        <v>65</v>
      </c>
      <c r="D495" t="s">
        <v>123</v>
      </c>
      <c r="E495" t="s">
        <v>52</v>
      </c>
      <c r="F495" t="s">
        <v>53</v>
      </c>
      <c r="H495">
        <v>59.99</v>
      </c>
      <c r="J495" t="s">
        <v>62</v>
      </c>
      <c r="K495" t="s">
        <v>50</v>
      </c>
      <c r="L495" t="s">
        <v>46</v>
      </c>
    </row>
    <row r="496" spans="1:13" x14ac:dyDescent="0.25">
      <c r="B496" t="s">
        <v>425</v>
      </c>
      <c r="C496" t="s">
        <v>77</v>
      </c>
      <c r="D496" t="s">
        <v>78</v>
      </c>
      <c r="E496" t="s">
        <v>31</v>
      </c>
      <c r="F496" t="s">
        <v>32</v>
      </c>
      <c r="G496">
        <v>3</v>
      </c>
      <c r="H496">
        <v>79.989999999999995</v>
      </c>
      <c r="J496" t="s">
        <v>19</v>
      </c>
      <c r="K496" t="s">
        <v>28</v>
      </c>
      <c r="L496" t="s">
        <v>35</v>
      </c>
    </row>
    <row r="497" spans="1:12" x14ac:dyDescent="0.25">
      <c r="A497">
        <v>1495</v>
      </c>
      <c r="B497" t="s">
        <v>426</v>
      </c>
      <c r="C497" t="s">
        <v>14</v>
      </c>
      <c r="E497" t="s">
        <v>67</v>
      </c>
      <c r="F497" t="s">
        <v>32</v>
      </c>
      <c r="G497">
        <v>4</v>
      </c>
      <c r="H497">
        <v>79.989999999999995</v>
      </c>
      <c r="J497" t="s">
        <v>19</v>
      </c>
      <c r="K497" t="s">
        <v>34</v>
      </c>
      <c r="L497" t="s">
        <v>35</v>
      </c>
    </row>
    <row r="498" spans="1:12" x14ac:dyDescent="0.25">
      <c r="A498">
        <v>1496</v>
      </c>
      <c r="B498" t="s">
        <v>427</v>
      </c>
      <c r="C498" t="s">
        <v>37</v>
      </c>
      <c r="D498" t="s">
        <v>428</v>
      </c>
      <c r="E498" t="s">
        <v>25</v>
      </c>
      <c r="F498" t="s">
        <v>26</v>
      </c>
      <c r="H498">
        <v>99.99</v>
      </c>
      <c r="J498" t="s">
        <v>54</v>
      </c>
      <c r="K498" t="s">
        <v>55</v>
      </c>
      <c r="L498" t="s">
        <v>46</v>
      </c>
    </row>
    <row r="499" spans="1:12" x14ac:dyDescent="0.25">
      <c r="A499">
        <v>1497</v>
      </c>
      <c r="C499" t="s">
        <v>37</v>
      </c>
      <c r="D499" t="s">
        <v>162</v>
      </c>
      <c r="E499" t="s">
        <v>31</v>
      </c>
      <c r="F499" t="s">
        <v>32</v>
      </c>
      <c r="G499">
        <v>2</v>
      </c>
      <c r="H499">
        <v>79.989999999999995</v>
      </c>
      <c r="J499" t="s">
        <v>33</v>
      </c>
      <c r="K499" t="s">
        <v>28</v>
      </c>
      <c r="L499" t="s">
        <v>29</v>
      </c>
    </row>
    <row r="500" spans="1:12" x14ac:dyDescent="0.25">
      <c r="A500">
        <v>1498</v>
      </c>
      <c r="B500" t="s">
        <v>307</v>
      </c>
      <c r="C500" t="s">
        <v>65</v>
      </c>
      <c r="D500" t="s">
        <v>101</v>
      </c>
      <c r="E500" t="s">
        <v>85</v>
      </c>
      <c r="F500" t="s">
        <v>26</v>
      </c>
      <c r="G500">
        <v>3</v>
      </c>
      <c r="H500">
        <v>99.99</v>
      </c>
      <c r="J500" t="s">
        <v>57</v>
      </c>
      <c r="K500" t="s">
        <v>20</v>
      </c>
      <c r="L500" t="s">
        <v>46</v>
      </c>
    </row>
    <row r="501" spans="1:12" x14ac:dyDescent="0.25">
      <c r="A501">
        <v>1499</v>
      </c>
      <c r="C501" t="s">
        <v>14</v>
      </c>
      <c r="D501" t="s">
        <v>84</v>
      </c>
      <c r="E501" t="s">
        <v>39</v>
      </c>
      <c r="F501" t="s">
        <v>17</v>
      </c>
      <c r="G501">
        <v>1</v>
      </c>
      <c r="H501" t="s">
        <v>117</v>
      </c>
      <c r="J501" t="s">
        <v>57</v>
      </c>
      <c r="K501" t="s">
        <v>129</v>
      </c>
      <c r="L501" t="s">
        <v>46</v>
      </c>
    </row>
    <row r="502" spans="1:12" x14ac:dyDescent="0.25">
      <c r="A502">
        <v>1500</v>
      </c>
      <c r="B502" t="s">
        <v>429</v>
      </c>
      <c r="C502" t="s">
        <v>37</v>
      </c>
      <c r="D502" t="s">
        <v>38</v>
      </c>
      <c r="E502" t="s">
        <v>127</v>
      </c>
      <c r="F502" t="s">
        <v>73</v>
      </c>
      <c r="G502">
        <v>4</v>
      </c>
      <c r="H502">
        <v>29.99</v>
      </c>
      <c r="J502" t="s">
        <v>62</v>
      </c>
      <c r="K502" t="s">
        <v>129</v>
      </c>
      <c r="L502" t="s">
        <v>35</v>
      </c>
    </row>
    <row r="503" spans="1:12" x14ac:dyDescent="0.25">
      <c r="A503">
        <v>1501</v>
      </c>
      <c r="B503" t="s">
        <v>430</v>
      </c>
      <c r="C503" t="s">
        <v>70</v>
      </c>
      <c r="D503" t="s">
        <v>88</v>
      </c>
      <c r="E503" t="s">
        <v>49</v>
      </c>
      <c r="F503" t="s">
        <v>26</v>
      </c>
      <c r="G503">
        <v>-1</v>
      </c>
      <c r="H503">
        <v>14.99</v>
      </c>
      <c r="J503" t="s">
        <v>54</v>
      </c>
      <c r="K503" t="s">
        <v>20</v>
      </c>
      <c r="L503" t="s">
        <v>35</v>
      </c>
    </row>
    <row r="504" spans="1:12" x14ac:dyDescent="0.25">
      <c r="A504">
        <v>1502</v>
      </c>
      <c r="B504" t="s">
        <v>431</v>
      </c>
      <c r="C504" t="s">
        <v>42</v>
      </c>
      <c r="D504" t="s">
        <v>48</v>
      </c>
      <c r="E504" t="s">
        <v>92</v>
      </c>
      <c r="F504" t="s">
        <v>26</v>
      </c>
      <c r="H504" t="s">
        <v>56</v>
      </c>
      <c r="J504" t="s">
        <v>62</v>
      </c>
      <c r="K504" t="s">
        <v>45</v>
      </c>
      <c r="L504" t="s">
        <v>40</v>
      </c>
    </row>
    <row r="505" spans="1:12" x14ac:dyDescent="0.25">
      <c r="A505">
        <v>1503</v>
      </c>
      <c r="B505" t="s">
        <v>165</v>
      </c>
      <c r="C505" t="s">
        <v>42</v>
      </c>
      <c r="D505" t="s">
        <v>48</v>
      </c>
      <c r="E505" t="s">
        <v>92</v>
      </c>
      <c r="F505" t="s">
        <v>26</v>
      </c>
      <c r="H505">
        <v>14.99</v>
      </c>
      <c r="J505" t="s">
        <v>19</v>
      </c>
      <c r="K505" t="s">
        <v>34</v>
      </c>
      <c r="L505" t="s">
        <v>21</v>
      </c>
    </row>
    <row r="506" spans="1:12" x14ac:dyDescent="0.25">
      <c r="A506">
        <v>1504</v>
      </c>
      <c r="B506" t="s">
        <v>432</v>
      </c>
      <c r="C506" t="s">
        <v>70</v>
      </c>
      <c r="D506" t="s">
        <v>131</v>
      </c>
      <c r="E506" t="s">
        <v>52</v>
      </c>
      <c r="F506" t="s">
        <v>53</v>
      </c>
      <c r="H506" t="s">
        <v>97</v>
      </c>
      <c r="J506" t="s">
        <v>62</v>
      </c>
      <c r="K506" t="s">
        <v>50</v>
      </c>
      <c r="L506" t="s">
        <v>40</v>
      </c>
    </row>
    <row r="507" spans="1:12" x14ac:dyDescent="0.25">
      <c r="A507">
        <v>1505</v>
      </c>
      <c r="B507" t="s">
        <v>268</v>
      </c>
      <c r="C507" t="s">
        <v>14</v>
      </c>
      <c r="D507" t="s">
        <v>15</v>
      </c>
      <c r="E507" t="s">
        <v>39</v>
      </c>
      <c r="F507" t="s">
        <v>17</v>
      </c>
      <c r="G507">
        <v>3</v>
      </c>
      <c r="H507">
        <v>39.99</v>
      </c>
      <c r="J507" t="s">
        <v>19</v>
      </c>
      <c r="K507" t="s">
        <v>68</v>
      </c>
      <c r="L507" t="s">
        <v>29</v>
      </c>
    </row>
    <row r="508" spans="1:12" x14ac:dyDescent="0.25">
      <c r="A508">
        <v>1506</v>
      </c>
      <c r="B508" t="s">
        <v>433</v>
      </c>
      <c r="C508" t="s">
        <v>65</v>
      </c>
      <c r="D508" t="s">
        <v>110</v>
      </c>
      <c r="E508" t="s">
        <v>67</v>
      </c>
      <c r="F508" t="s">
        <v>32</v>
      </c>
      <c r="G508">
        <v>5</v>
      </c>
      <c r="H508">
        <v>79.989999999999995</v>
      </c>
      <c r="J508" t="s">
        <v>57</v>
      </c>
      <c r="K508" t="s">
        <v>55</v>
      </c>
      <c r="L508" t="s">
        <v>46</v>
      </c>
    </row>
    <row r="509" spans="1:12" x14ac:dyDescent="0.25">
      <c r="A509">
        <v>1507</v>
      </c>
      <c r="B509" t="s">
        <v>434</v>
      </c>
      <c r="C509" t="s">
        <v>23</v>
      </c>
      <c r="D509" t="s">
        <v>124</v>
      </c>
      <c r="E509" t="s">
        <v>52</v>
      </c>
      <c r="F509" t="s">
        <v>53</v>
      </c>
      <c r="H509">
        <v>59.99</v>
      </c>
      <c r="J509" t="s">
        <v>19</v>
      </c>
      <c r="K509" t="s">
        <v>45</v>
      </c>
      <c r="L509" t="s">
        <v>35</v>
      </c>
    </row>
    <row r="510" spans="1:12" x14ac:dyDescent="0.25">
      <c r="A510">
        <v>1508</v>
      </c>
      <c r="B510" t="s">
        <v>435</v>
      </c>
      <c r="C510" t="s">
        <v>37</v>
      </c>
      <c r="E510" t="s">
        <v>92</v>
      </c>
      <c r="F510" t="s">
        <v>26</v>
      </c>
      <c r="H510">
        <v>14.99</v>
      </c>
      <c r="J510" t="s">
        <v>62</v>
      </c>
      <c r="K510" t="s">
        <v>55</v>
      </c>
      <c r="L510" t="s">
        <v>35</v>
      </c>
    </row>
    <row r="511" spans="1:12" x14ac:dyDescent="0.25">
      <c r="A511">
        <v>1509</v>
      </c>
      <c r="B511" t="s">
        <v>436</v>
      </c>
      <c r="C511" t="s">
        <v>14</v>
      </c>
      <c r="D511" t="s">
        <v>84</v>
      </c>
      <c r="E511" t="s">
        <v>16</v>
      </c>
      <c r="F511" t="s">
        <v>17</v>
      </c>
      <c r="G511">
        <v>-1</v>
      </c>
      <c r="H511">
        <v>15.99</v>
      </c>
      <c r="J511" t="s">
        <v>62</v>
      </c>
      <c r="K511" t="s">
        <v>129</v>
      </c>
      <c r="L511" t="s">
        <v>21</v>
      </c>
    </row>
    <row r="512" spans="1:12" x14ac:dyDescent="0.25">
      <c r="A512">
        <v>1510</v>
      </c>
      <c r="C512" t="s">
        <v>77</v>
      </c>
      <c r="D512" t="s">
        <v>91</v>
      </c>
      <c r="E512" t="s">
        <v>107</v>
      </c>
      <c r="F512" t="s">
        <v>73</v>
      </c>
      <c r="G512">
        <v>3</v>
      </c>
      <c r="H512">
        <v>49.99</v>
      </c>
      <c r="J512" t="s">
        <v>33</v>
      </c>
      <c r="K512" t="s">
        <v>45</v>
      </c>
      <c r="L512" t="s">
        <v>35</v>
      </c>
    </row>
    <row r="513" spans="1:13" x14ac:dyDescent="0.25">
      <c r="A513">
        <v>1511</v>
      </c>
      <c r="B513" t="s">
        <v>437</v>
      </c>
      <c r="C513" t="s">
        <v>65</v>
      </c>
      <c r="D513" t="s">
        <v>123</v>
      </c>
      <c r="E513" t="s">
        <v>72</v>
      </c>
      <c r="F513" t="s">
        <v>73</v>
      </c>
      <c r="H513">
        <v>49.99</v>
      </c>
      <c r="J513" t="s">
        <v>57</v>
      </c>
      <c r="K513" t="s">
        <v>20</v>
      </c>
      <c r="L513" t="s">
        <v>40</v>
      </c>
    </row>
    <row r="514" spans="1:13" x14ac:dyDescent="0.25">
      <c r="B514" t="s">
        <v>438</v>
      </c>
      <c r="C514" t="s">
        <v>70</v>
      </c>
      <c r="D514" t="s">
        <v>131</v>
      </c>
      <c r="E514" t="s">
        <v>59</v>
      </c>
      <c r="F514" t="s">
        <v>60</v>
      </c>
      <c r="G514">
        <v>4</v>
      </c>
      <c r="H514" t="s">
        <v>61</v>
      </c>
      <c r="J514" t="s">
        <v>54</v>
      </c>
      <c r="K514" t="s">
        <v>55</v>
      </c>
      <c r="L514" t="s">
        <v>40</v>
      </c>
    </row>
    <row r="515" spans="1:13" x14ac:dyDescent="0.25">
      <c r="A515">
        <v>1513</v>
      </c>
      <c r="C515" t="s">
        <v>23</v>
      </c>
      <c r="D515" t="s">
        <v>24</v>
      </c>
      <c r="E515" t="s">
        <v>212</v>
      </c>
      <c r="F515" t="s">
        <v>53</v>
      </c>
      <c r="H515">
        <v>59.99</v>
      </c>
      <c r="J515" t="s">
        <v>33</v>
      </c>
      <c r="K515" t="s">
        <v>68</v>
      </c>
      <c r="L515" t="s">
        <v>46</v>
      </c>
    </row>
    <row r="516" spans="1:13" x14ac:dyDescent="0.25">
      <c r="A516">
        <v>1514</v>
      </c>
      <c r="B516" t="s">
        <v>432</v>
      </c>
      <c r="C516" t="s">
        <v>42</v>
      </c>
      <c r="D516" t="s">
        <v>43</v>
      </c>
      <c r="E516" t="s">
        <v>72</v>
      </c>
      <c r="F516" t="s">
        <v>73</v>
      </c>
      <c r="G516">
        <v>3</v>
      </c>
      <c r="H516">
        <v>49.99</v>
      </c>
      <c r="J516" t="s">
        <v>33</v>
      </c>
      <c r="K516" t="s">
        <v>68</v>
      </c>
      <c r="L516" t="s">
        <v>21</v>
      </c>
    </row>
    <row r="517" spans="1:13" x14ac:dyDescent="0.25">
      <c r="A517">
        <v>1515</v>
      </c>
      <c r="B517" t="s">
        <v>439</v>
      </c>
      <c r="C517" t="s">
        <v>65</v>
      </c>
      <c r="D517" t="s">
        <v>123</v>
      </c>
      <c r="E517" t="s">
        <v>44</v>
      </c>
      <c r="F517" t="s">
        <v>17</v>
      </c>
      <c r="G517">
        <v>5</v>
      </c>
      <c r="H517" t="s">
        <v>18</v>
      </c>
      <c r="J517" t="s">
        <v>62</v>
      </c>
      <c r="K517" t="s">
        <v>50</v>
      </c>
      <c r="L517" t="s">
        <v>46</v>
      </c>
      <c r="M517" t="s">
        <v>63</v>
      </c>
    </row>
    <row r="518" spans="1:13" x14ac:dyDescent="0.25">
      <c r="A518">
        <v>1516</v>
      </c>
      <c r="B518" t="s">
        <v>196</v>
      </c>
      <c r="C518" t="s">
        <v>14</v>
      </c>
      <c r="D518" t="s">
        <v>15</v>
      </c>
      <c r="E518" t="s">
        <v>85</v>
      </c>
      <c r="F518" t="s">
        <v>26</v>
      </c>
      <c r="H518">
        <v>99.99</v>
      </c>
      <c r="J518" t="s">
        <v>33</v>
      </c>
      <c r="K518" t="s">
        <v>68</v>
      </c>
      <c r="L518" t="s">
        <v>21</v>
      </c>
    </row>
    <row r="519" spans="1:13" x14ac:dyDescent="0.25">
      <c r="A519">
        <v>1517</v>
      </c>
      <c r="B519" t="s">
        <v>440</v>
      </c>
      <c r="C519" t="s">
        <v>14</v>
      </c>
      <c r="D519" t="s">
        <v>15</v>
      </c>
      <c r="E519" t="s">
        <v>31</v>
      </c>
      <c r="F519" t="s">
        <v>32</v>
      </c>
      <c r="G519">
        <v>3</v>
      </c>
      <c r="H519">
        <v>79.989999999999995</v>
      </c>
      <c r="J519" t="s">
        <v>33</v>
      </c>
      <c r="K519" t="s">
        <v>45</v>
      </c>
      <c r="L519" t="s">
        <v>21</v>
      </c>
    </row>
    <row r="520" spans="1:13" x14ac:dyDescent="0.25">
      <c r="A520">
        <v>1518</v>
      </c>
      <c r="B520" t="s">
        <v>441</v>
      </c>
      <c r="C520" t="s">
        <v>37</v>
      </c>
      <c r="D520" t="s">
        <v>162</v>
      </c>
      <c r="E520" t="s">
        <v>52</v>
      </c>
      <c r="F520" t="s">
        <v>53</v>
      </c>
      <c r="G520">
        <v>1</v>
      </c>
      <c r="H520" t="s">
        <v>97</v>
      </c>
      <c r="J520" t="s">
        <v>54</v>
      </c>
      <c r="K520" t="s">
        <v>20</v>
      </c>
      <c r="L520" t="s">
        <v>35</v>
      </c>
    </row>
    <row r="521" spans="1:13" x14ac:dyDescent="0.25">
      <c r="A521">
        <v>1519</v>
      </c>
      <c r="B521" t="s">
        <v>442</v>
      </c>
      <c r="C521" t="s">
        <v>70</v>
      </c>
      <c r="D521" t="s">
        <v>144</v>
      </c>
      <c r="E521" t="s">
        <v>44</v>
      </c>
      <c r="F521" t="s">
        <v>17</v>
      </c>
      <c r="G521">
        <v>3</v>
      </c>
      <c r="H521">
        <v>15.99</v>
      </c>
      <c r="J521" t="s">
        <v>27</v>
      </c>
      <c r="K521" t="s">
        <v>45</v>
      </c>
      <c r="L521" t="s">
        <v>46</v>
      </c>
    </row>
    <row r="522" spans="1:13" x14ac:dyDescent="0.25">
      <c r="A522">
        <v>1520</v>
      </c>
      <c r="B522" t="s">
        <v>443</v>
      </c>
      <c r="C522" t="s">
        <v>42</v>
      </c>
      <c r="E522" t="s">
        <v>16</v>
      </c>
      <c r="F522" t="s">
        <v>17</v>
      </c>
      <c r="G522">
        <v>4</v>
      </c>
      <c r="H522">
        <v>15.99</v>
      </c>
      <c r="J522" t="s">
        <v>57</v>
      </c>
      <c r="K522" t="s">
        <v>50</v>
      </c>
      <c r="L522" t="s">
        <v>35</v>
      </c>
    </row>
    <row r="523" spans="1:13" x14ac:dyDescent="0.25">
      <c r="A523">
        <v>1521</v>
      </c>
      <c r="B523" t="s">
        <v>444</v>
      </c>
      <c r="C523" t="s">
        <v>70</v>
      </c>
      <c r="D523" t="s">
        <v>131</v>
      </c>
      <c r="E523" t="s">
        <v>49</v>
      </c>
      <c r="F523" t="s">
        <v>26</v>
      </c>
      <c r="G523">
        <v>1</v>
      </c>
      <c r="H523">
        <v>14.99</v>
      </c>
      <c r="J523" t="s">
        <v>62</v>
      </c>
      <c r="K523" t="s">
        <v>68</v>
      </c>
      <c r="L523" t="s">
        <v>29</v>
      </c>
    </row>
    <row r="524" spans="1:13" x14ac:dyDescent="0.25">
      <c r="A524">
        <v>1522</v>
      </c>
      <c r="C524" t="s">
        <v>23</v>
      </c>
      <c r="D524" t="s">
        <v>124</v>
      </c>
      <c r="E524" t="s">
        <v>127</v>
      </c>
      <c r="F524" t="s">
        <v>73</v>
      </c>
      <c r="G524">
        <v>4</v>
      </c>
      <c r="H524">
        <v>29.99</v>
      </c>
      <c r="J524" t="s">
        <v>19</v>
      </c>
      <c r="K524" t="s">
        <v>20</v>
      </c>
      <c r="L524" t="s">
        <v>29</v>
      </c>
    </row>
    <row r="525" spans="1:13" x14ac:dyDescent="0.25">
      <c r="C525" t="s">
        <v>42</v>
      </c>
      <c r="D525" t="s">
        <v>43</v>
      </c>
      <c r="E525" t="s">
        <v>49</v>
      </c>
      <c r="F525" t="s">
        <v>26</v>
      </c>
      <c r="G525">
        <v>5</v>
      </c>
      <c r="H525">
        <v>14.99</v>
      </c>
      <c r="J525" t="s">
        <v>19</v>
      </c>
      <c r="K525" t="s">
        <v>34</v>
      </c>
      <c r="L525" t="s">
        <v>21</v>
      </c>
    </row>
    <row r="526" spans="1:13" x14ac:dyDescent="0.25">
      <c r="A526">
        <v>1524</v>
      </c>
      <c r="B526" t="s">
        <v>445</v>
      </c>
      <c r="C526" t="s">
        <v>23</v>
      </c>
      <c r="D526" t="s">
        <v>24</v>
      </c>
      <c r="E526" t="s">
        <v>52</v>
      </c>
      <c r="F526" t="s">
        <v>53</v>
      </c>
      <c r="H526">
        <v>59.99</v>
      </c>
      <c r="J526" t="s">
        <v>27</v>
      </c>
      <c r="K526" t="s">
        <v>129</v>
      </c>
      <c r="L526" t="s">
        <v>35</v>
      </c>
    </row>
    <row r="527" spans="1:13" x14ac:dyDescent="0.25">
      <c r="A527">
        <v>1525</v>
      </c>
      <c r="C527" t="s">
        <v>37</v>
      </c>
      <c r="D527" t="s">
        <v>309</v>
      </c>
      <c r="E527" t="s">
        <v>49</v>
      </c>
      <c r="F527" t="s">
        <v>26</v>
      </c>
      <c r="G527">
        <v>-1</v>
      </c>
      <c r="H527">
        <v>14.99</v>
      </c>
      <c r="J527" t="s">
        <v>19</v>
      </c>
      <c r="K527" t="s">
        <v>55</v>
      </c>
      <c r="L527" t="s">
        <v>46</v>
      </c>
    </row>
    <row r="528" spans="1:13" x14ac:dyDescent="0.25">
      <c r="A528">
        <v>1526</v>
      </c>
      <c r="C528" t="s">
        <v>77</v>
      </c>
      <c r="D528" t="s">
        <v>91</v>
      </c>
      <c r="E528" t="s">
        <v>85</v>
      </c>
      <c r="F528" t="s">
        <v>26</v>
      </c>
      <c r="G528">
        <v>1</v>
      </c>
      <c r="H528">
        <v>99.99</v>
      </c>
      <c r="J528" t="s">
        <v>27</v>
      </c>
      <c r="K528" t="s">
        <v>20</v>
      </c>
      <c r="L528" t="s">
        <v>40</v>
      </c>
    </row>
    <row r="529" spans="1:13" x14ac:dyDescent="0.25">
      <c r="A529">
        <v>1527</v>
      </c>
      <c r="B529" t="s">
        <v>446</v>
      </c>
      <c r="C529" t="s">
        <v>23</v>
      </c>
      <c r="D529" t="s">
        <v>81</v>
      </c>
      <c r="E529" t="s">
        <v>59</v>
      </c>
      <c r="F529" t="s">
        <v>60</v>
      </c>
      <c r="G529">
        <v>-1</v>
      </c>
      <c r="H529" t="s">
        <v>61</v>
      </c>
      <c r="J529" t="s">
        <v>27</v>
      </c>
      <c r="K529" t="s">
        <v>28</v>
      </c>
      <c r="L529" t="s">
        <v>21</v>
      </c>
    </row>
    <row r="530" spans="1:13" x14ac:dyDescent="0.25">
      <c r="A530">
        <v>1528</v>
      </c>
      <c r="B530" t="s">
        <v>447</v>
      </c>
      <c r="C530" t="s">
        <v>70</v>
      </c>
      <c r="D530" t="s">
        <v>88</v>
      </c>
      <c r="E530" t="s">
        <v>95</v>
      </c>
      <c r="F530" t="s">
        <v>73</v>
      </c>
      <c r="G530">
        <v>3</v>
      </c>
      <c r="H530" t="s">
        <v>137</v>
      </c>
      <c r="J530" t="s">
        <v>62</v>
      </c>
      <c r="K530" t="s">
        <v>68</v>
      </c>
      <c r="L530" t="s">
        <v>29</v>
      </c>
    </row>
    <row r="531" spans="1:13" x14ac:dyDescent="0.25">
      <c r="A531">
        <v>1529</v>
      </c>
      <c r="B531" t="s">
        <v>448</v>
      </c>
      <c r="C531" t="s">
        <v>65</v>
      </c>
      <c r="D531" t="s">
        <v>126</v>
      </c>
      <c r="E531" t="s">
        <v>82</v>
      </c>
      <c r="F531" t="s">
        <v>60</v>
      </c>
      <c r="G531">
        <v>3</v>
      </c>
      <c r="H531">
        <v>4.99</v>
      </c>
      <c r="J531" t="s">
        <v>62</v>
      </c>
      <c r="K531" t="s">
        <v>50</v>
      </c>
      <c r="L531" t="s">
        <v>29</v>
      </c>
    </row>
    <row r="532" spans="1:13" x14ac:dyDescent="0.25">
      <c r="A532">
        <v>1530</v>
      </c>
      <c r="C532" t="s">
        <v>37</v>
      </c>
      <c r="D532" t="s">
        <v>169</v>
      </c>
      <c r="E532" t="s">
        <v>82</v>
      </c>
      <c r="F532" t="s">
        <v>60</v>
      </c>
      <c r="H532">
        <v>4.99</v>
      </c>
      <c r="J532" t="s">
        <v>62</v>
      </c>
      <c r="K532" t="s">
        <v>28</v>
      </c>
      <c r="L532" t="s">
        <v>46</v>
      </c>
    </row>
    <row r="533" spans="1:13" x14ac:dyDescent="0.25">
      <c r="A533">
        <v>1531</v>
      </c>
      <c r="C533" t="s">
        <v>23</v>
      </c>
      <c r="D533" t="s">
        <v>81</v>
      </c>
      <c r="E533" t="s">
        <v>127</v>
      </c>
      <c r="F533" t="s">
        <v>73</v>
      </c>
      <c r="H533">
        <v>29.99</v>
      </c>
      <c r="J533" t="s">
        <v>54</v>
      </c>
      <c r="K533" t="s">
        <v>68</v>
      </c>
      <c r="L533" t="s">
        <v>21</v>
      </c>
    </row>
    <row r="534" spans="1:13" x14ac:dyDescent="0.25">
      <c r="A534">
        <v>1532</v>
      </c>
      <c r="B534" t="s">
        <v>449</v>
      </c>
      <c r="C534" t="s">
        <v>70</v>
      </c>
      <c r="D534" t="s">
        <v>71</v>
      </c>
      <c r="E534" t="s">
        <v>72</v>
      </c>
      <c r="F534" t="s">
        <v>73</v>
      </c>
      <c r="G534">
        <v>3</v>
      </c>
      <c r="H534" t="s">
        <v>108</v>
      </c>
      <c r="J534" t="s">
        <v>62</v>
      </c>
      <c r="K534" t="s">
        <v>20</v>
      </c>
      <c r="L534" t="s">
        <v>29</v>
      </c>
    </row>
    <row r="535" spans="1:13" x14ac:dyDescent="0.25">
      <c r="A535">
        <v>1533</v>
      </c>
      <c r="B535" t="s">
        <v>450</v>
      </c>
      <c r="C535" t="s">
        <v>70</v>
      </c>
      <c r="D535" t="s">
        <v>131</v>
      </c>
      <c r="E535" t="s">
        <v>85</v>
      </c>
      <c r="F535" t="s">
        <v>26</v>
      </c>
      <c r="G535">
        <v>1</v>
      </c>
      <c r="H535" t="s">
        <v>86</v>
      </c>
      <c r="J535" t="s">
        <v>62</v>
      </c>
      <c r="K535" t="s">
        <v>34</v>
      </c>
      <c r="L535" t="s">
        <v>21</v>
      </c>
      <c r="M535" t="s">
        <v>63</v>
      </c>
    </row>
    <row r="536" spans="1:13" x14ac:dyDescent="0.25">
      <c r="A536">
        <v>1534</v>
      </c>
      <c r="B536" t="s">
        <v>451</v>
      </c>
      <c r="C536" t="s">
        <v>42</v>
      </c>
      <c r="D536" t="s">
        <v>43</v>
      </c>
      <c r="E536" t="s">
        <v>39</v>
      </c>
      <c r="F536" t="s">
        <v>17</v>
      </c>
      <c r="H536">
        <v>39.99</v>
      </c>
      <c r="J536" t="s">
        <v>27</v>
      </c>
      <c r="K536" t="s">
        <v>28</v>
      </c>
      <c r="L536" t="s">
        <v>21</v>
      </c>
    </row>
    <row r="537" spans="1:13" x14ac:dyDescent="0.25">
      <c r="A537">
        <v>1535</v>
      </c>
      <c r="B537" t="s">
        <v>452</v>
      </c>
      <c r="D537" t="s">
        <v>78</v>
      </c>
      <c r="E537" t="s">
        <v>127</v>
      </c>
      <c r="F537" t="s">
        <v>73</v>
      </c>
      <c r="G537">
        <v>5</v>
      </c>
      <c r="H537" t="s">
        <v>137</v>
      </c>
      <c r="J537" t="s">
        <v>33</v>
      </c>
      <c r="K537" t="s">
        <v>129</v>
      </c>
      <c r="L537" t="s">
        <v>46</v>
      </c>
    </row>
    <row r="538" spans="1:13" x14ac:dyDescent="0.25">
      <c r="A538">
        <v>1536</v>
      </c>
      <c r="D538" t="s">
        <v>75</v>
      </c>
      <c r="E538" t="s">
        <v>44</v>
      </c>
      <c r="F538" t="s">
        <v>17</v>
      </c>
      <c r="H538">
        <v>15.99</v>
      </c>
      <c r="J538" t="s">
        <v>19</v>
      </c>
      <c r="K538" t="s">
        <v>50</v>
      </c>
      <c r="L538" t="s">
        <v>40</v>
      </c>
    </row>
    <row r="539" spans="1:13" x14ac:dyDescent="0.25">
      <c r="A539">
        <v>1537</v>
      </c>
      <c r="B539" t="s">
        <v>453</v>
      </c>
      <c r="C539" t="s">
        <v>77</v>
      </c>
      <c r="D539" t="s">
        <v>91</v>
      </c>
      <c r="E539" t="s">
        <v>59</v>
      </c>
      <c r="F539" t="s">
        <v>60</v>
      </c>
      <c r="G539">
        <v>3</v>
      </c>
      <c r="H539" t="s">
        <v>61</v>
      </c>
      <c r="J539" t="s">
        <v>33</v>
      </c>
      <c r="K539" t="s">
        <v>34</v>
      </c>
      <c r="L539" t="s">
        <v>46</v>
      </c>
    </row>
    <row r="540" spans="1:13" x14ac:dyDescent="0.25">
      <c r="A540">
        <v>1538</v>
      </c>
      <c r="B540" t="s">
        <v>454</v>
      </c>
      <c r="C540" t="s">
        <v>65</v>
      </c>
      <c r="D540" t="s">
        <v>126</v>
      </c>
      <c r="E540" t="s">
        <v>72</v>
      </c>
      <c r="F540" t="s">
        <v>73</v>
      </c>
      <c r="G540">
        <v>5</v>
      </c>
      <c r="H540" t="s">
        <v>108</v>
      </c>
      <c r="J540" t="s">
        <v>57</v>
      </c>
      <c r="K540" t="s">
        <v>45</v>
      </c>
      <c r="L540" t="s">
        <v>35</v>
      </c>
    </row>
    <row r="541" spans="1:13" x14ac:dyDescent="0.25">
      <c r="A541">
        <v>1539</v>
      </c>
      <c r="B541" t="s">
        <v>455</v>
      </c>
      <c r="C541" t="s">
        <v>42</v>
      </c>
      <c r="D541" t="s">
        <v>116</v>
      </c>
      <c r="E541" t="s">
        <v>59</v>
      </c>
      <c r="F541" t="s">
        <v>60</v>
      </c>
      <c r="H541">
        <v>4.99</v>
      </c>
      <c r="J541" t="s">
        <v>27</v>
      </c>
      <c r="K541" t="s">
        <v>55</v>
      </c>
      <c r="L541" t="s">
        <v>29</v>
      </c>
    </row>
    <row r="542" spans="1:13" x14ac:dyDescent="0.25">
      <c r="A542">
        <v>1540</v>
      </c>
      <c r="B542" t="s">
        <v>456</v>
      </c>
      <c r="C542" t="s">
        <v>77</v>
      </c>
      <c r="D542" t="s">
        <v>120</v>
      </c>
      <c r="E542" t="s">
        <v>31</v>
      </c>
      <c r="F542" t="s">
        <v>32</v>
      </c>
      <c r="G542">
        <v>-1</v>
      </c>
      <c r="H542">
        <v>79.989999999999995</v>
      </c>
      <c r="J542" t="s">
        <v>19</v>
      </c>
      <c r="K542" t="s">
        <v>28</v>
      </c>
      <c r="L542" t="s">
        <v>21</v>
      </c>
    </row>
    <row r="543" spans="1:13" x14ac:dyDescent="0.25">
      <c r="A543">
        <v>1541</v>
      </c>
      <c r="B543" t="s">
        <v>433</v>
      </c>
      <c r="C543" t="s">
        <v>14</v>
      </c>
      <c r="D543" t="s">
        <v>84</v>
      </c>
      <c r="E543" t="s">
        <v>82</v>
      </c>
      <c r="F543" t="s">
        <v>60</v>
      </c>
      <c r="G543">
        <v>5</v>
      </c>
      <c r="H543">
        <v>4.99</v>
      </c>
      <c r="J543" t="s">
        <v>54</v>
      </c>
      <c r="K543" t="s">
        <v>45</v>
      </c>
      <c r="L543" t="s">
        <v>46</v>
      </c>
    </row>
    <row r="544" spans="1:13" x14ac:dyDescent="0.25">
      <c r="A544">
        <v>1542</v>
      </c>
      <c r="B544" t="s">
        <v>457</v>
      </c>
      <c r="D544" t="s">
        <v>126</v>
      </c>
      <c r="E544" t="s">
        <v>92</v>
      </c>
      <c r="F544" t="s">
        <v>26</v>
      </c>
      <c r="H544">
        <v>14.99</v>
      </c>
      <c r="J544" t="s">
        <v>19</v>
      </c>
      <c r="K544" t="s">
        <v>45</v>
      </c>
      <c r="L544" t="s">
        <v>35</v>
      </c>
    </row>
    <row r="545" spans="1:13" x14ac:dyDescent="0.25">
      <c r="A545">
        <v>1543</v>
      </c>
      <c r="C545" t="s">
        <v>14</v>
      </c>
      <c r="D545" t="s">
        <v>15</v>
      </c>
      <c r="E545" t="s">
        <v>85</v>
      </c>
      <c r="F545" t="s">
        <v>26</v>
      </c>
      <c r="G545">
        <v>1</v>
      </c>
      <c r="H545" t="s">
        <v>86</v>
      </c>
      <c r="J545" t="s">
        <v>33</v>
      </c>
      <c r="K545" t="s">
        <v>55</v>
      </c>
      <c r="L545" t="s">
        <v>21</v>
      </c>
    </row>
    <row r="546" spans="1:13" x14ac:dyDescent="0.25">
      <c r="A546">
        <v>1544</v>
      </c>
      <c r="B546" t="s">
        <v>312</v>
      </c>
      <c r="C546" t="s">
        <v>42</v>
      </c>
      <c r="D546" t="s">
        <v>43</v>
      </c>
      <c r="E546" t="s">
        <v>92</v>
      </c>
      <c r="F546" t="s">
        <v>26</v>
      </c>
      <c r="G546">
        <v>1</v>
      </c>
      <c r="H546" t="s">
        <v>56</v>
      </c>
      <c r="J546" t="s">
        <v>57</v>
      </c>
      <c r="K546" t="s">
        <v>50</v>
      </c>
      <c r="L546" t="s">
        <v>21</v>
      </c>
    </row>
    <row r="547" spans="1:13" x14ac:dyDescent="0.25">
      <c r="A547">
        <v>1545</v>
      </c>
      <c r="C547" t="s">
        <v>65</v>
      </c>
      <c r="D547" t="s">
        <v>66</v>
      </c>
      <c r="E547" t="s">
        <v>85</v>
      </c>
      <c r="F547" t="s">
        <v>26</v>
      </c>
      <c r="G547">
        <v>5</v>
      </c>
      <c r="H547">
        <v>99.99</v>
      </c>
      <c r="J547" t="s">
        <v>54</v>
      </c>
      <c r="K547" t="s">
        <v>129</v>
      </c>
      <c r="L547" t="s">
        <v>29</v>
      </c>
    </row>
    <row r="548" spans="1:13" x14ac:dyDescent="0.25">
      <c r="A548">
        <v>1546</v>
      </c>
      <c r="B548" t="s">
        <v>458</v>
      </c>
      <c r="C548" t="s">
        <v>37</v>
      </c>
      <c r="D548" t="s">
        <v>162</v>
      </c>
      <c r="E548" t="s">
        <v>39</v>
      </c>
      <c r="F548" t="s">
        <v>17</v>
      </c>
      <c r="H548">
        <v>39.99</v>
      </c>
      <c r="J548" t="s">
        <v>27</v>
      </c>
      <c r="K548" t="s">
        <v>34</v>
      </c>
      <c r="L548" t="s">
        <v>29</v>
      </c>
      <c r="M548" t="s">
        <v>63</v>
      </c>
    </row>
    <row r="549" spans="1:13" x14ac:dyDescent="0.25">
      <c r="A549">
        <v>1547</v>
      </c>
      <c r="C549" t="s">
        <v>37</v>
      </c>
      <c r="D549" t="s">
        <v>162</v>
      </c>
      <c r="E549" t="s">
        <v>72</v>
      </c>
      <c r="F549" t="s">
        <v>73</v>
      </c>
      <c r="G549">
        <v>2</v>
      </c>
      <c r="H549">
        <v>49.99</v>
      </c>
      <c r="J549" t="s">
        <v>33</v>
      </c>
      <c r="K549" t="s">
        <v>34</v>
      </c>
      <c r="L549" t="s">
        <v>21</v>
      </c>
    </row>
    <row r="550" spans="1:13" x14ac:dyDescent="0.25">
      <c r="A550">
        <v>1548</v>
      </c>
      <c r="C550" t="s">
        <v>37</v>
      </c>
      <c r="D550" t="s">
        <v>169</v>
      </c>
      <c r="E550" t="s">
        <v>92</v>
      </c>
      <c r="F550" t="s">
        <v>26</v>
      </c>
      <c r="G550">
        <v>4</v>
      </c>
      <c r="H550">
        <v>14.99</v>
      </c>
      <c r="J550" t="s">
        <v>33</v>
      </c>
      <c r="K550" t="s">
        <v>45</v>
      </c>
      <c r="L550" t="s">
        <v>46</v>
      </c>
    </row>
    <row r="551" spans="1:13" x14ac:dyDescent="0.25">
      <c r="A551">
        <v>1549</v>
      </c>
      <c r="B551" t="s">
        <v>459</v>
      </c>
      <c r="C551" t="s">
        <v>23</v>
      </c>
      <c r="D551" t="s">
        <v>24</v>
      </c>
      <c r="E551" t="s">
        <v>49</v>
      </c>
      <c r="F551" t="s">
        <v>26</v>
      </c>
      <c r="H551" t="s">
        <v>56</v>
      </c>
      <c r="J551" t="s">
        <v>33</v>
      </c>
      <c r="K551" t="s">
        <v>55</v>
      </c>
      <c r="L551" t="s">
        <v>35</v>
      </c>
    </row>
    <row r="552" spans="1:13" x14ac:dyDescent="0.25">
      <c r="A552">
        <v>1550</v>
      </c>
      <c r="B552" t="s">
        <v>460</v>
      </c>
      <c r="C552" t="s">
        <v>77</v>
      </c>
      <c r="D552" t="s">
        <v>91</v>
      </c>
      <c r="E552" t="s">
        <v>67</v>
      </c>
      <c r="F552" t="s">
        <v>32</v>
      </c>
      <c r="G552">
        <v>2</v>
      </c>
      <c r="H552">
        <v>79.989999999999995</v>
      </c>
      <c r="J552" t="s">
        <v>33</v>
      </c>
      <c r="K552" t="s">
        <v>45</v>
      </c>
      <c r="L552" t="s">
        <v>46</v>
      </c>
    </row>
    <row r="553" spans="1:13" x14ac:dyDescent="0.25">
      <c r="A553">
        <v>1551</v>
      </c>
      <c r="B553" t="s">
        <v>354</v>
      </c>
      <c r="C553" t="s">
        <v>14</v>
      </c>
      <c r="E553" t="s">
        <v>92</v>
      </c>
      <c r="F553" t="s">
        <v>26</v>
      </c>
      <c r="G553">
        <v>1</v>
      </c>
      <c r="H553">
        <v>14.99</v>
      </c>
      <c r="J553" t="s">
        <v>57</v>
      </c>
      <c r="K553" t="s">
        <v>50</v>
      </c>
      <c r="L553" t="s">
        <v>35</v>
      </c>
    </row>
    <row r="554" spans="1:13" x14ac:dyDescent="0.25">
      <c r="A554">
        <v>1552</v>
      </c>
      <c r="B554" t="s">
        <v>461</v>
      </c>
      <c r="C554" t="s">
        <v>42</v>
      </c>
      <c r="D554" t="s">
        <v>43</v>
      </c>
      <c r="E554" t="s">
        <v>59</v>
      </c>
      <c r="F554" t="s">
        <v>60</v>
      </c>
      <c r="G554">
        <v>4</v>
      </c>
      <c r="H554">
        <v>4.99</v>
      </c>
      <c r="J554" t="s">
        <v>57</v>
      </c>
      <c r="K554" t="s">
        <v>55</v>
      </c>
      <c r="L554" t="s">
        <v>29</v>
      </c>
    </row>
    <row r="555" spans="1:13" x14ac:dyDescent="0.25">
      <c r="A555">
        <v>1553</v>
      </c>
      <c r="B555" t="s">
        <v>462</v>
      </c>
      <c r="C555" t="s">
        <v>37</v>
      </c>
      <c r="D555" t="s">
        <v>169</v>
      </c>
      <c r="E555" t="s">
        <v>52</v>
      </c>
      <c r="F555" t="s">
        <v>53</v>
      </c>
      <c r="G555">
        <v>1</v>
      </c>
      <c r="H555" t="s">
        <v>97</v>
      </c>
      <c r="J555" t="s">
        <v>54</v>
      </c>
      <c r="K555" t="s">
        <v>55</v>
      </c>
      <c r="L555" t="s">
        <v>46</v>
      </c>
    </row>
    <row r="556" spans="1:13" x14ac:dyDescent="0.25">
      <c r="A556">
        <v>1554</v>
      </c>
      <c r="C556" t="s">
        <v>42</v>
      </c>
      <c r="D556" t="s">
        <v>43</v>
      </c>
      <c r="E556" t="s">
        <v>31</v>
      </c>
      <c r="F556" t="s">
        <v>32</v>
      </c>
      <c r="H556">
        <v>79.989999999999995</v>
      </c>
      <c r="J556" t="s">
        <v>57</v>
      </c>
      <c r="K556" t="s">
        <v>68</v>
      </c>
      <c r="L556" t="s">
        <v>46</v>
      </c>
    </row>
    <row r="557" spans="1:13" x14ac:dyDescent="0.25">
      <c r="A557">
        <v>1555</v>
      </c>
      <c r="B557" t="s">
        <v>463</v>
      </c>
      <c r="D557" t="s">
        <v>114</v>
      </c>
      <c r="E557" t="s">
        <v>59</v>
      </c>
      <c r="F557" t="s">
        <v>60</v>
      </c>
      <c r="G557">
        <v>2</v>
      </c>
      <c r="H557" t="s">
        <v>61</v>
      </c>
      <c r="J557" t="s">
        <v>62</v>
      </c>
      <c r="K557" t="s">
        <v>50</v>
      </c>
      <c r="L557" t="s">
        <v>29</v>
      </c>
    </row>
    <row r="558" spans="1:13" x14ac:dyDescent="0.25">
      <c r="A558">
        <v>1556</v>
      </c>
      <c r="B558" t="s">
        <v>464</v>
      </c>
      <c r="C558" t="s">
        <v>65</v>
      </c>
      <c r="D558" t="s">
        <v>123</v>
      </c>
      <c r="E558" t="s">
        <v>25</v>
      </c>
      <c r="F558" t="s">
        <v>26</v>
      </c>
      <c r="H558">
        <v>99.99</v>
      </c>
      <c r="J558" t="s">
        <v>62</v>
      </c>
      <c r="K558" t="s">
        <v>34</v>
      </c>
      <c r="L558" t="s">
        <v>46</v>
      </c>
    </row>
    <row r="559" spans="1:13" x14ac:dyDescent="0.25">
      <c r="A559">
        <v>1557</v>
      </c>
      <c r="B559" t="s">
        <v>337</v>
      </c>
      <c r="C559" t="s">
        <v>77</v>
      </c>
      <c r="D559" t="s">
        <v>114</v>
      </c>
      <c r="E559" t="s">
        <v>85</v>
      </c>
      <c r="F559" t="s">
        <v>26</v>
      </c>
      <c r="G559">
        <v>3</v>
      </c>
      <c r="H559" t="s">
        <v>86</v>
      </c>
      <c r="J559" t="s">
        <v>54</v>
      </c>
      <c r="K559" t="s">
        <v>68</v>
      </c>
      <c r="L559" t="s">
        <v>40</v>
      </c>
    </row>
    <row r="560" spans="1:13" x14ac:dyDescent="0.25">
      <c r="A560">
        <v>1558</v>
      </c>
      <c r="B560" t="s">
        <v>465</v>
      </c>
      <c r="D560" t="s">
        <v>126</v>
      </c>
      <c r="E560" t="s">
        <v>82</v>
      </c>
      <c r="F560" t="s">
        <v>60</v>
      </c>
      <c r="H560">
        <v>4.99</v>
      </c>
      <c r="J560" t="s">
        <v>57</v>
      </c>
      <c r="K560" t="s">
        <v>34</v>
      </c>
      <c r="L560" t="s">
        <v>29</v>
      </c>
    </row>
    <row r="561" spans="1:12" x14ac:dyDescent="0.25">
      <c r="A561">
        <v>1559</v>
      </c>
      <c r="C561" t="s">
        <v>42</v>
      </c>
      <c r="D561" t="s">
        <v>48</v>
      </c>
      <c r="E561" t="s">
        <v>212</v>
      </c>
      <c r="F561" t="s">
        <v>53</v>
      </c>
      <c r="G561">
        <v>3</v>
      </c>
      <c r="H561">
        <v>59.99</v>
      </c>
      <c r="J561" t="s">
        <v>54</v>
      </c>
      <c r="K561" t="s">
        <v>68</v>
      </c>
      <c r="L561" t="s">
        <v>21</v>
      </c>
    </row>
    <row r="562" spans="1:12" x14ac:dyDescent="0.25">
      <c r="A562">
        <v>1560</v>
      </c>
      <c r="C562" t="s">
        <v>37</v>
      </c>
      <c r="D562" t="s">
        <v>162</v>
      </c>
      <c r="E562" t="s">
        <v>107</v>
      </c>
      <c r="F562" t="s">
        <v>73</v>
      </c>
      <c r="G562">
        <v>1</v>
      </c>
      <c r="H562">
        <v>49.99</v>
      </c>
      <c r="J562" t="s">
        <v>57</v>
      </c>
      <c r="K562" t="s">
        <v>50</v>
      </c>
      <c r="L562" t="s">
        <v>46</v>
      </c>
    </row>
    <row r="563" spans="1:12" x14ac:dyDescent="0.25">
      <c r="A563">
        <v>1561</v>
      </c>
      <c r="B563" t="s">
        <v>466</v>
      </c>
      <c r="C563" t="s">
        <v>42</v>
      </c>
      <c r="D563" t="s">
        <v>239</v>
      </c>
      <c r="E563" t="s">
        <v>52</v>
      </c>
      <c r="F563" t="s">
        <v>53</v>
      </c>
      <c r="G563">
        <v>5</v>
      </c>
      <c r="H563" t="s">
        <v>97</v>
      </c>
      <c r="J563" t="s">
        <v>62</v>
      </c>
      <c r="K563" t="s">
        <v>34</v>
      </c>
      <c r="L563" t="s">
        <v>29</v>
      </c>
    </row>
    <row r="564" spans="1:12" x14ac:dyDescent="0.25">
      <c r="A564">
        <v>1562</v>
      </c>
      <c r="B564" t="s">
        <v>467</v>
      </c>
      <c r="C564" t="s">
        <v>42</v>
      </c>
      <c r="D564" t="s">
        <v>43</v>
      </c>
      <c r="E564" t="s">
        <v>25</v>
      </c>
      <c r="F564" t="s">
        <v>26</v>
      </c>
      <c r="G564">
        <v>3</v>
      </c>
      <c r="H564">
        <v>99.99</v>
      </c>
      <c r="J564" t="s">
        <v>27</v>
      </c>
      <c r="K564" t="s">
        <v>55</v>
      </c>
      <c r="L564" t="s">
        <v>40</v>
      </c>
    </row>
    <row r="565" spans="1:12" x14ac:dyDescent="0.25">
      <c r="A565">
        <v>1563</v>
      </c>
      <c r="B565" t="s">
        <v>437</v>
      </c>
      <c r="C565" t="s">
        <v>77</v>
      </c>
      <c r="D565" t="s">
        <v>114</v>
      </c>
      <c r="E565" t="s">
        <v>31</v>
      </c>
      <c r="F565" t="s">
        <v>32</v>
      </c>
      <c r="G565">
        <v>1</v>
      </c>
      <c r="H565" t="s">
        <v>125</v>
      </c>
      <c r="J565" t="s">
        <v>33</v>
      </c>
      <c r="K565" t="s">
        <v>45</v>
      </c>
      <c r="L565" t="s">
        <v>40</v>
      </c>
    </row>
    <row r="566" spans="1:12" x14ac:dyDescent="0.25">
      <c r="A566">
        <v>1564</v>
      </c>
      <c r="C566" t="s">
        <v>42</v>
      </c>
      <c r="D566" t="s">
        <v>239</v>
      </c>
      <c r="E566" t="s">
        <v>39</v>
      </c>
      <c r="F566" t="s">
        <v>17</v>
      </c>
      <c r="G566">
        <v>4</v>
      </c>
      <c r="H566">
        <v>39.99</v>
      </c>
      <c r="J566" t="s">
        <v>19</v>
      </c>
      <c r="K566" t="s">
        <v>20</v>
      </c>
      <c r="L566" t="s">
        <v>40</v>
      </c>
    </row>
    <row r="567" spans="1:12" x14ac:dyDescent="0.25">
      <c r="A567">
        <v>1565</v>
      </c>
      <c r="B567" t="s">
        <v>468</v>
      </c>
      <c r="C567" t="s">
        <v>14</v>
      </c>
      <c r="D567" t="s">
        <v>84</v>
      </c>
      <c r="E567" t="s">
        <v>127</v>
      </c>
      <c r="F567" t="s">
        <v>73</v>
      </c>
      <c r="G567">
        <v>4</v>
      </c>
      <c r="H567">
        <v>29.99</v>
      </c>
      <c r="J567" t="s">
        <v>57</v>
      </c>
      <c r="K567" t="s">
        <v>34</v>
      </c>
      <c r="L567" t="s">
        <v>35</v>
      </c>
    </row>
    <row r="568" spans="1:12" x14ac:dyDescent="0.25">
      <c r="A568">
        <v>1566</v>
      </c>
      <c r="B568" t="s">
        <v>469</v>
      </c>
      <c r="C568" t="s">
        <v>65</v>
      </c>
      <c r="D568" t="s">
        <v>123</v>
      </c>
      <c r="E568" t="s">
        <v>72</v>
      </c>
      <c r="F568" t="s">
        <v>73</v>
      </c>
      <c r="H568" t="s">
        <v>108</v>
      </c>
      <c r="J568" t="s">
        <v>33</v>
      </c>
      <c r="K568" t="s">
        <v>55</v>
      </c>
      <c r="L568" t="s">
        <v>35</v>
      </c>
    </row>
    <row r="569" spans="1:12" x14ac:dyDescent="0.25">
      <c r="A569">
        <v>1567</v>
      </c>
      <c r="B569" t="s">
        <v>470</v>
      </c>
      <c r="C569" t="s">
        <v>65</v>
      </c>
      <c r="D569" t="s">
        <v>123</v>
      </c>
      <c r="E569" t="s">
        <v>95</v>
      </c>
      <c r="F569" t="s">
        <v>73</v>
      </c>
      <c r="G569">
        <v>-1</v>
      </c>
      <c r="H569" t="s">
        <v>137</v>
      </c>
      <c r="J569" t="s">
        <v>54</v>
      </c>
      <c r="K569" t="s">
        <v>45</v>
      </c>
      <c r="L569" t="s">
        <v>46</v>
      </c>
    </row>
    <row r="570" spans="1:12" x14ac:dyDescent="0.25">
      <c r="A570">
        <v>1568</v>
      </c>
      <c r="B570" t="s">
        <v>471</v>
      </c>
      <c r="C570" t="s">
        <v>23</v>
      </c>
      <c r="D570" t="s">
        <v>124</v>
      </c>
      <c r="E570" t="s">
        <v>31</v>
      </c>
      <c r="F570" t="s">
        <v>32</v>
      </c>
      <c r="G570">
        <v>1</v>
      </c>
      <c r="H570">
        <v>79.989999999999995</v>
      </c>
      <c r="J570" t="s">
        <v>33</v>
      </c>
      <c r="K570" t="s">
        <v>129</v>
      </c>
      <c r="L570" t="s">
        <v>35</v>
      </c>
    </row>
    <row r="571" spans="1:12" x14ac:dyDescent="0.25">
      <c r="A571">
        <v>1569</v>
      </c>
      <c r="B571" t="s">
        <v>251</v>
      </c>
      <c r="C571" t="s">
        <v>77</v>
      </c>
      <c r="D571" t="s">
        <v>103</v>
      </c>
      <c r="E571" t="s">
        <v>44</v>
      </c>
      <c r="F571" t="s">
        <v>17</v>
      </c>
      <c r="H571" t="s">
        <v>18</v>
      </c>
      <c r="J571" t="s">
        <v>19</v>
      </c>
      <c r="K571" t="s">
        <v>45</v>
      </c>
      <c r="L571" t="s">
        <v>46</v>
      </c>
    </row>
    <row r="572" spans="1:12" x14ac:dyDescent="0.25">
      <c r="A572">
        <v>1570</v>
      </c>
      <c r="B572" t="s">
        <v>472</v>
      </c>
      <c r="C572" t="s">
        <v>37</v>
      </c>
      <c r="D572" t="s">
        <v>169</v>
      </c>
      <c r="E572" t="s">
        <v>72</v>
      </c>
      <c r="F572" t="s">
        <v>73</v>
      </c>
      <c r="G572">
        <v>3</v>
      </c>
      <c r="H572">
        <v>49.99</v>
      </c>
      <c r="J572" t="s">
        <v>27</v>
      </c>
      <c r="K572" t="s">
        <v>55</v>
      </c>
      <c r="L572" t="s">
        <v>40</v>
      </c>
    </row>
    <row r="573" spans="1:12" x14ac:dyDescent="0.25">
      <c r="A573">
        <v>1571</v>
      </c>
      <c r="B573" t="s">
        <v>473</v>
      </c>
      <c r="C573" t="s">
        <v>14</v>
      </c>
      <c r="D573" t="s">
        <v>75</v>
      </c>
      <c r="E573" t="s">
        <v>212</v>
      </c>
      <c r="F573" t="s">
        <v>53</v>
      </c>
      <c r="G573">
        <v>1</v>
      </c>
      <c r="H573">
        <v>59.99</v>
      </c>
      <c r="J573" t="s">
        <v>57</v>
      </c>
      <c r="K573" t="s">
        <v>28</v>
      </c>
      <c r="L573" t="s">
        <v>46</v>
      </c>
    </row>
    <row r="574" spans="1:12" x14ac:dyDescent="0.25">
      <c r="A574">
        <v>1572</v>
      </c>
      <c r="B574" t="s">
        <v>474</v>
      </c>
      <c r="C574" t="s">
        <v>23</v>
      </c>
      <c r="D574" t="s">
        <v>24</v>
      </c>
      <c r="E574" t="s">
        <v>82</v>
      </c>
      <c r="F574" t="s">
        <v>60</v>
      </c>
      <c r="G574">
        <v>5</v>
      </c>
      <c r="H574">
        <v>4.99</v>
      </c>
      <c r="J574" t="s">
        <v>33</v>
      </c>
      <c r="K574" t="s">
        <v>129</v>
      </c>
      <c r="L574" t="s">
        <v>35</v>
      </c>
    </row>
    <row r="575" spans="1:12" x14ac:dyDescent="0.25">
      <c r="A575">
        <v>1573</v>
      </c>
      <c r="B575" t="s">
        <v>475</v>
      </c>
      <c r="C575" t="s">
        <v>42</v>
      </c>
      <c r="D575" t="s">
        <v>239</v>
      </c>
      <c r="E575" t="s">
        <v>82</v>
      </c>
      <c r="F575" t="s">
        <v>60</v>
      </c>
      <c r="G575">
        <v>4</v>
      </c>
      <c r="H575">
        <v>4.99</v>
      </c>
      <c r="J575" t="s">
        <v>54</v>
      </c>
      <c r="K575" t="s">
        <v>45</v>
      </c>
      <c r="L575" t="s">
        <v>21</v>
      </c>
    </row>
    <row r="576" spans="1:12" x14ac:dyDescent="0.25">
      <c r="A576">
        <v>1574</v>
      </c>
      <c r="C576" t="s">
        <v>42</v>
      </c>
      <c r="D576" t="s">
        <v>43</v>
      </c>
      <c r="E576" t="s">
        <v>92</v>
      </c>
      <c r="F576" t="s">
        <v>26</v>
      </c>
      <c r="G576">
        <v>5</v>
      </c>
      <c r="H576" t="s">
        <v>56</v>
      </c>
      <c r="J576" t="s">
        <v>54</v>
      </c>
      <c r="K576" t="s">
        <v>55</v>
      </c>
      <c r="L576" t="s">
        <v>21</v>
      </c>
    </row>
    <row r="577" spans="1:13" x14ac:dyDescent="0.25">
      <c r="A577">
        <v>1575</v>
      </c>
      <c r="B577" t="s">
        <v>476</v>
      </c>
      <c r="C577" t="s">
        <v>37</v>
      </c>
      <c r="D577" t="s">
        <v>162</v>
      </c>
      <c r="E577" t="s">
        <v>92</v>
      </c>
      <c r="F577" t="s">
        <v>26</v>
      </c>
      <c r="G577">
        <v>3</v>
      </c>
      <c r="H577">
        <v>14.99</v>
      </c>
      <c r="J577" t="s">
        <v>27</v>
      </c>
      <c r="K577" t="s">
        <v>68</v>
      </c>
      <c r="L577" t="s">
        <v>21</v>
      </c>
    </row>
    <row r="578" spans="1:13" x14ac:dyDescent="0.25">
      <c r="A578">
        <v>1576</v>
      </c>
      <c r="B578" t="s">
        <v>477</v>
      </c>
      <c r="C578" t="s">
        <v>77</v>
      </c>
      <c r="D578" t="s">
        <v>114</v>
      </c>
      <c r="E578" t="s">
        <v>85</v>
      </c>
      <c r="F578" t="s">
        <v>26</v>
      </c>
      <c r="G578">
        <v>1</v>
      </c>
      <c r="H578" t="s">
        <v>86</v>
      </c>
      <c r="J578" t="s">
        <v>33</v>
      </c>
      <c r="K578" t="s">
        <v>129</v>
      </c>
      <c r="L578" t="s">
        <v>46</v>
      </c>
    </row>
    <row r="579" spans="1:13" x14ac:dyDescent="0.25">
      <c r="A579">
        <v>1577</v>
      </c>
      <c r="C579" t="s">
        <v>65</v>
      </c>
      <c r="D579" t="s">
        <v>126</v>
      </c>
      <c r="E579" t="s">
        <v>52</v>
      </c>
      <c r="F579" t="s">
        <v>53</v>
      </c>
      <c r="G579">
        <v>3</v>
      </c>
      <c r="H579">
        <v>59.99</v>
      </c>
      <c r="J579" t="s">
        <v>19</v>
      </c>
      <c r="K579" t="s">
        <v>55</v>
      </c>
      <c r="L579" t="s">
        <v>35</v>
      </c>
    </row>
    <row r="580" spans="1:13" x14ac:dyDescent="0.25">
      <c r="A580">
        <v>1578</v>
      </c>
      <c r="B580" t="s">
        <v>478</v>
      </c>
      <c r="C580" t="s">
        <v>23</v>
      </c>
      <c r="D580" t="s">
        <v>81</v>
      </c>
      <c r="E580" t="s">
        <v>127</v>
      </c>
      <c r="F580" t="s">
        <v>73</v>
      </c>
      <c r="G580">
        <v>3</v>
      </c>
      <c r="H580">
        <v>29.99</v>
      </c>
      <c r="J580" t="s">
        <v>54</v>
      </c>
      <c r="K580" t="s">
        <v>55</v>
      </c>
      <c r="L580" t="s">
        <v>40</v>
      </c>
    </row>
    <row r="581" spans="1:13" x14ac:dyDescent="0.25">
      <c r="A581">
        <v>1579</v>
      </c>
      <c r="B581" t="s">
        <v>479</v>
      </c>
      <c r="C581" t="s">
        <v>14</v>
      </c>
      <c r="D581" t="s">
        <v>84</v>
      </c>
      <c r="E581" t="s">
        <v>95</v>
      </c>
      <c r="F581" t="s">
        <v>73</v>
      </c>
      <c r="H581">
        <v>29.99</v>
      </c>
      <c r="J581" t="s">
        <v>19</v>
      </c>
      <c r="K581" t="s">
        <v>45</v>
      </c>
      <c r="L581" t="s">
        <v>29</v>
      </c>
    </row>
    <row r="582" spans="1:13" x14ac:dyDescent="0.25">
      <c r="A582">
        <v>1580</v>
      </c>
      <c r="B582" t="s">
        <v>480</v>
      </c>
      <c r="C582" t="s">
        <v>42</v>
      </c>
      <c r="D582" t="s">
        <v>43</v>
      </c>
      <c r="E582" t="s">
        <v>52</v>
      </c>
      <c r="F582" t="s">
        <v>53</v>
      </c>
      <c r="G582">
        <v>4</v>
      </c>
      <c r="H582">
        <v>59.99</v>
      </c>
      <c r="J582" t="s">
        <v>33</v>
      </c>
      <c r="K582" t="s">
        <v>20</v>
      </c>
      <c r="L582" t="s">
        <v>46</v>
      </c>
    </row>
    <row r="583" spans="1:13" x14ac:dyDescent="0.25">
      <c r="A583">
        <v>1581</v>
      </c>
      <c r="B583" t="s">
        <v>481</v>
      </c>
      <c r="C583" t="s">
        <v>77</v>
      </c>
      <c r="D583" t="s">
        <v>120</v>
      </c>
      <c r="E583" t="s">
        <v>72</v>
      </c>
      <c r="F583" t="s">
        <v>73</v>
      </c>
      <c r="G583">
        <v>4</v>
      </c>
      <c r="H583" t="s">
        <v>108</v>
      </c>
      <c r="J583" t="s">
        <v>62</v>
      </c>
      <c r="K583" t="s">
        <v>20</v>
      </c>
      <c r="L583" t="s">
        <v>21</v>
      </c>
    </row>
    <row r="584" spans="1:13" x14ac:dyDescent="0.25">
      <c r="A584">
        <v>1582</v>
      </c>
      <c r="C584" t="s">
        <v>70</v>
      </c>
      <c r="D584" t="s">
        <v>131</v>
      </c>
      <c r="E584" t="s">
        <v>39</v>
      </c>
      <c r="F584" t="s">
        <v>17</v>
      </c>
      <c r="H584">
        <v>39.99</v>
      </c>
      <c r="J584" t="s">
        <v>33</v>
      </c>
      <c r="K584" t="s">
        <v>20</v>
      </c>
      <c r="L584" t="s">
        <v>21</v>
      </c>
    </row>
    <row r="585" spans="1:13" x14ac:dyDescent="0.25">
      <c r="B585" t="s">
        <v>482</v>
      </c>
      <c r="C585" t="s">
        <v>70</v>
      </c>
      <c r="D585" t="s">
        <v>71</v>
      </c>
      <c r="E585" t="s">
        <v>92</v>
      </c>
      <c r="F585" t="s">
        <v>26</v>
      </c>
      <c r="G585">
        <v>5</v>
      </c>
      <c r="H585">
        <v>14.99</v>
      </c>
      <c r="J585" t="s">
        <v>33</v>
      </c>
      <c r="K585" t="s">
        <v>45</v>
      </c>
      <c r="L585" t="s">
        <v>46</v>
      </c>
    </row>
    <row r="586" spans="1:13" x14ac:dyDescent="0.25">
      <c r="A586">
        <v>1584</v>
      </c>
      <c r="C586" t="s">
        <v>77</v>
      </c>
      <c r="D586" t="s">
        <v>91</v>
      </c>
      <c r="E586" t="s">
        <v>127</v>
      </c>
      <c r="F586" t="s">
        <v>73</v>
      </c>
      <c r="H586">
        <v>29.99</v>
      </c>
      <c r="J586" t="s">
        <v>27</v>
      </c>
      <c r="K586" t="s">
        <v>50</v>
      </c>
      <c r="L586" t="s">
        <v>35</v>
      </c>
    </row>
    <row r="587" spans="1:13" x14ac:dyDescent="0.25">
      <c r="A587">
        <v>1585</v>
      </c>
      <c r="B587" t="s">
        <v>483</v>
      </c>
      <c r="C587" t="s">
        <v>14</v>
      </c>
      <c r="D587" t="s">
        <v>15</v>
      </c>
      <c r="E587" t="s">
        <v>31</v>
      </c>
      <c r="F587" t="s">
        <v>32</v>
      </c>
      <c r="G587">
        <v>5</v>
      </c>
      <c r="H587">
        <v>79.989999999999995</v>
      </c>
      <c r="J587" t="s">
        <v>57</v>
      </c>
      <c r="K587" t="s">
        <v>45</v>
      </c>
      <c r="L587" t="s">
        <v>29</v>
      </c>
    </row>
    <row r="588" spans="1:13" x14ac:dyDescent="0.25">
      <c r="A588">
        <v>1586</v>
      </c>
      <c r="B588" t="s">
        <v>484</v>
      </c>
      <c r="C588" t="s">
        <v>65</v>
      </c>
      <c r="E588" t="s">
        <v>212</v>
      </c>
      <c r="F588" t="s">
        <v>53</v>
      </c>
      <c r="G588">
        <v>-1</v>
      </c>
      <c r="H588">
        <v>59.99</v>
      </c>
      <c r="J588" t="s">
        <v>54</v>
      </c>
      <c r="K588" t="s">
        <v>20</v>
      </c>
      <c r="L588" t="s">
        <v>35</v>
      </c>
    </row>
    <row r="589" spans="1:13" x14ac:dyDescent="0.25">
      <c r="A589">
        <v>1587</v>
      </c>
      <c r="B589" t="s">
        <v>485</v>
      </c>
      <c r="C589" t="s">
        <v>23</v>
      </c>
      <c r="D589" t="s">
        <v>81</v>
      </c>
      <c r="E589" t="s">
        <v>212</v>
      </c>
      <c r="F589" t="s">
        <v>53</v>
      </c>
      <c r="H589">
        <v>59.99</v>
      </c>
      <c r="J589" t="s">
        <v>19</v>
      </c>
      <c r="K589" t="s">
        <v>129</v>
      </c>
      <c r="L589" t="s">
        <v>21</v>
      </c>
      <c r="M589" t="s">
        <v>63</v>
      </c>
    </row>
    <row r="590" spans="1:13" x14ac:dyDescent="0.25">
      <c r="A590">
        <v>1588</v>
      </c>
      <c r="B590" t="s">
        <v>385</v>
      </c>
      <c r="C590" t="s">
        <v>14</v>
      </c>
      <c r="D590" t="s">
        <v>15</v>
      </c>
      <c r="E590" t="s">
        <v>49</v>
      </c>
      <c r="F590" t="s">
        <v>26</v>
      </c>
      <c r="G590">
        <v>-1</v>
      </c>
      <c r="H590" t="s">
        <v>56</v>
      </c>
      <c r="J590" t="s">
        <v>27</v>
      </c>
      <c r="K590" t="s">
        <v>45</v>
      </c>
      <c r="L590" t="s">
        <v>46</v>
      </c>
    </row>
    <row r="591" spans="1:13" x14ac:dyDescent="0.25">
      <c r="A591">
        <v>1589</v>
      </c>
      <c r="B591" t="s">
        <v>218</v>
      </c>
      <c r="C591" t="s">
        <v>42</v>
      </c>
      <c r="D591" t="s">
        <v>48</v>
      </c>
      <c r="E591" t="s">
        <v>52</v>
      </c>
      <c r="F591" t="s">
        <v>53</v>
      </c>
      <c r="H591">
        <v>59.99</v>
      </c>
      <c r="J591" t="s">
        <v>54</v>
      </c>
      <c r="K591" t="s">
        <v>20</v>
      </c>
      <c r="L591" t="s">
        <v>35</v>
      </c>
    </row>
    <row r="592" spans="1:13" x14ac:dyDescent="0.25">
      <c r="A592">
        <v>1590</v>
      </c>
      <c r="D592" t="s">
        <v>91</v>
      </c>
      <c r="E592" t="s">
        <v>52</v>
      </c>
      <c r="F592" t="s">
        <v>53</v>
      </c>
      <c r="G592">
        <v>5</v>
      </c>
      <c r="H592">
        <v>59.99</v>
      </c>
      <c r="J592" t="s">
        <v>57</v>
      </c>
      <c r="K592" t="s">
        <v>50</v>
      </c>
      <c r="L592" t="s">
        <v>40</v>
      </c>
    </row>
    <row r="593" spans="1:13" x14ac:dyDescent="0.25">
      <c r="A593">
        <v>1591</v>
      </c>
      <c r="B593" t="s">
        <v>486</v>
      </c>
      <c r="C593" t="s">
        <v>77</v>
      </c>
      <c r="D593" t="s">
        <v>91</v>
      </c>
      <c r="E593" t="s">
        <v>52</v>
      </c>
      <c r="F593" t="s">
        <v>53</v>
      </c>
      <c r="G593">
        <v>-1</v>
      </c>
      <c r="H593">
        <v>59.99</v>
      </c>
      <c r="J593" t="s">
        <v>27</v>
      </c>
      <c r="K593" t="s">
        <v>129</v>
      </c>
      <c r="L593" t="s">
        <v>21</v>
      </c>
    </row>
    <row r="594" spans="1:13" x14ac:dyDescent="0.25">
      <c r="A594">
        <v>1592</v>
      </c>
      <c r="B594" t="s">
        <v>487</v>
      </c>
      <c r="C594" t="s">
        <v>70</v>
      </c>
      <c r="D594" t="s">
        <v>131</v>
      </c>
      <c r="E594" t="s">
        <v>72</v>
      </c>
      <c r="F594" t="s">
        <v>73</v>
      </c>
      <c r="G594">
        <v>4</v>
      </c>
      <c r="H594">
        <v>49.99</v>
      </c>
      <c r="J594" t="s">
        <v>33</v>
      </c>
      <c r="K594" t="s">
        <v>28</v>
      </c>
      <c r="L594" t="s">
        <v>29</v>
      </c>
    </row>
    <row r="595" spans="1:13" x14ac:dyDescent="0.25">
      <c r="A595">
        <v>1593</v>
      </c>
      <c r="C595" t="s">
        <v>42</v>
      </c>
      <c r="D595" t="s">
        <v>106</v>
      </c>
      <c r="E595" t="s">
        <v>127</v>
      </c>
      <c r="F595" t="s">
        <v>73</v>
      </c>
      <c r="G595">
        <v>3</v>
      </c>
      <c r="H595">
        <v>29.99</v>
      </c>
      <c r="J595" t="s">
        <v>27</v>
      </c>
      <c r="K595" t="s">
        <v>34</v>
      </c>
      <c r="L595" t="s">
        <v>35</v>
      </c>
      <c r="M595" t="s">
        <v>63</v>
      </c>
    </row>
    <row r="596" spans="1:13" x14ac:dyDescent="0.25">
      <c r="A596">
        <v>1594</v>
      </c>
      <c r="B596" t="s">
        <v>488</v>
      </c>
      <c r="C596" t="s">
        <v>14</v>
      </c>
      <c r="D596" t="s">
        <v>84</v>
      </c>
      <c r="E596" t="s">
        <v>85</v>
      </c>
      <c r="F596" t="s">
        <v>26</v>
      </c>
      <c r="G596">
        <v>4</v>
      </c>
      <c r="H596">
        <v>99.99</v>
      </c>
      <c r="J596" t="s">
        <v>33</v>
      </c>
      <c r="K596" t="s">
        <v>55</v>
      </c>
      <c r="L596" t="s">
        <v>40</v>
      </c>
    </row>
    <row r="597" spans="1:13" x14ac:dyDescent="0.25">
      <c r="D597" t="s">
        <v>48</v>
      </c>
      <c r="E597" t="s">
        <v>52</v>
      </c>
      <c r="F597" t="s">
        <v>53</v>
      </c>
      <c r="G597">
        <v>2</v>
      </c>
      <c r="H597" t="s">
        <v>97</v>
      </c>
      <c r="J597" t="s">
        <v>27</v>
      </c>
      <c r="K597" t="s">
        <v>45</v>
      </c>
      <c r="L597" t="s">
        <v>35</v>
      </c>
    </row>
    <row r="598" spans="1:13" x14ac:dyDescent="0.25">
      <c r="A598">
        <v>1596</v>
      </c>
      <c r="C598" t="s">
        <v>23</v>
      </c>
      <c r="D598" t="s">
        <v>81</v>
      </c>
      <c r="E598" t="s">
        <v>107</v>
      </c>
      <c r="F598" t="s">
        <v>73</v>
      </c>
      <c r="G598">
        <v>2</v>
      </c>
      <c r="H598">
        <v>49.99</v>
      </c>
      <c r="J598" t="s">
        <v>19</v>
      </c>
      <c r="K598" t="s">
        <v>50</v>
      </c>
      <c r="L598" t="s">
        <v>40</v>
      </c>
      <c r="M598" t="s">
        <v>63</v>
      </c>
    </row>
    <row r="599" spans="1:13" x14ac:dyDescent="0.25">
      <c r="A599">
        <v>1597</v>
      </c>
      <c r="B599" t="s">
        <v>283</v>
      </c>
      <c r="C599" t="s">
        <v>42</v>
      </c>
      <c r="D599" t="s">
        <v>116</v>
      </c>
      <c r="E599" t="s">
        <v>82</v>
      </c>
      <c r="F599" t="s">
        <v>60</v>
      </c>
      <c r="G599">
        <v>3</v>
      </c>
      <c r="H599">
        <v>4.99</v>
      </c>
      <c r="J599" t="s">
        <v>27</v>
      </c>
      <c r="K599" t="s">
        <v>34</v>
      </c>
      <c r="L599" t="s">
        <v>46</v>
      </c>
    </row>
    <row r="600" spans="1:13" x14ac:dyDescent="0.25">
      <c r="A600">
        <v>1598</v>
      </c>
      <c r="B600" t="s">
        <v>366</v>
      </c>
      <c r="C600" t="s">
        <v>14</v>
      </c>
      <c r="D600" t="s">
        <v>75</v>
      </c>
      <c r="E600" t="s">
        <v>39</v>
      </c>
      <c r="F600" t="s">
        <v>17</v>
      </c>
      <c r="G600">
        <v>3</v>
      </c>
      <c r="H600">
        <v>39.99</v>
      </c>
      <c r="J600" t="s">
        <v>62</v>
      </c>
      <c r="K600" t="s">
        <v>55</v>
      </c>
      <c r="L600" t="s">
        <v>40</v>
      </c>
    </row>
    <row r="601" spans="1:13" x14ac:dyDescent="0.25">
      <c r="A601">
        <v>1599</v>
      </c>
      <c r="B601" t="s">
        <v>489</v>
      </c>
      <c r="C601" t="s">
        <v>23</v>
      </c>
      <c r="D601" t="s">
        <v>124</v>
      </c>
      <c r="E601" t="s">
        <v>52</v>
      </c>
      <c r="F601" t="s">
        <v>53</v>
      </c>
      <c r="G601">
        <v>4</v>
      </c>
      <c r="H601">
        <v>59.99</v>
      </c>
      <c r="J601" t="s">
        <v>19</v>
      </c>
      <c r="K601" t="s">
        <v>68</v>
      </c>
      <c r="L601" t="s">
        <v>29</v>
      </c>
    </row>
    <row r="602" spans="1:13" x14ac:dyDescent="0.25">
      <c r="A602">
        <v>1600</v>
      </c>
      <c r="C602" t="s">
        <v>23</v>
      </c>
      <c r="D602" t="s">
        <v>81</v>
      </c>
      <c r="E602" t="s">
        <v>31</v>
      </c>
      <c r="F602" t="s">
        <v>32</v>
      </c>
      <c r="G602">
        <v>-1</v>
      </c>
      <c r="H602">
        <v>79.989999999999995</v>
      </c>
      <c r="J602" t="s">
        <v>62</v>
      </c>
      <c r="K602" t="s">
        <v>55</v>
      </c>
      <c r="L602" t="s">
        <v>29</v>
      </c>
    </row>
    <row r="603" spans="1:13" x14ac:dyDescent="0.25">
      <c r="A603">
        <v>1601</v>
      </c>
      <c r="B603" t="s">
        <v>490</v>
      </c>
      <c r="C603" t="s">
        <v>14</v>
      </c>
      <c r="D603" t="s">
        <v>75</v>
      </c>
      <c r="E603" t="s">
        <v>52</v>
      </c>
      <c r="F603" t="s">
        <v>53</v>
      </c>
      <c r="G603">
        <v>1</v>
      </c>
      <c r="H603">
        <v>59.99</v>
      </c>
      <c r="J603" t="s">
        <v>27</v>
      </c>
      <c r="K603" t="s">
        <v>50</v>
      </c>
      <c r="L603" t="s">
        <v>35</v>
      </c>
    </row>
    <row r="604" spans="1:13" x14ac:dyDescent="0.25">
      <c r="A604">
        <v>1602</v>
      </c>
      <c r="B604" t="s">
        <v>249</v>
      </c>
      <c r="C604" t="s">
        <v>37</v>
      </c>
      <c r="D604" t="s">
        <v>162</v>
      </c>
      <c r="E604" t="s">
        <v>44</v>
      </c>
      <c r="F604" t="s">
        <v>17</v>
      </c>
      <c r="H604" t="s">
        <v>18</v>
      </c>
      <c r="J604" t="s">
        <v>54</v>
      </c>
      <c r="K604" t="s">
        <v>68</v>
      </c>
      <c r="L604" t="s">
        <v>40</v>
      </c>
    </row>
    <row r="605" spans="1:13" x14ac:dyDescent="0.25">
      <c r="A605">
        <v>1603</v>
      </c>
      <c r="C605" t="s">
        <v>23</v>
      </c>
      <c r="D605" t="s">
        <v>81</v>
      </c>
      <c r="E605" t="s">
        <v>85</v>
      </c>
      <c r="F605" t="s">
        <v>26</v>
      </c>
      <c r="G605">
        <v>3</v>
      </c>
      <c r="H605">
        <v>99.99</v>
      </c>
      <c r="J605" t="s">
        <v>27</v>
      </c>
      <c r="K605" t="s">
        <v>20</v>
      </c>
      <c r="L605" t="s">
        <v>21</v>
      </c>
    </row>
    <row r="606" spans="1:13" x14ac:dyDescent="0.25">
      <c r="A606">
        <v>1604</v>
      </c>
      <c r="C606" t="s">
        <v>23</v>
      </c>
      <c r="D606" t="s">
        <v>491</v>
      </c>
      <c r="E606" t="s">
        <v>25</v>
      </c>
      <c r="F606" t="s">
        <v>26</v>
      </c>
      <c r="G606">
        <v>3</v>
      </c>
      <c r="H606">
        <v>99.99</v>
      </c>
      <c r="J606" t="s">
        <v>33</v>
      </c>
      <c r="K606" t="s">
        <v>129</v>
      </c>
      <c r="L606" t="s">
        <v>40</v>
      </c>
    </row>
    <row r="607" spans="1:13" x14ac:dyDescent="0.25">
      <c r="A607">
        <v>1605</v>
      </c>
      <c r="B607" t="s">
        <v>492</v>
      </c>
      <c r="C607" t="s">
        <v>77</v>
      </c>
      <c r="D607" t="s">
        <v>103</v>
      </c>
      <c r="E607" t="s">
        <v>72</v>
      </c>
      <c r="F607" t="s">
        <v>73</v>
      </c>
      <c r="G607">
        <v>1</v>
      </c>
      <c r="H607" t="s">
        <v>108</v>
      </c>
      <c r="J607" t="s">
        <v>19</v>
      </c>
      <c r="K607" t="s">
        <v>20</v>
      </c>
      <c r="L607" t="s">
        <v>35</v>
      </c>
    </row>
    <row r="608" spans="1:13" x14ac:dyDescent="0.25">
      <c r="A608">
        <v>1606</v>
      </c>
      <c r="C608" t="s">
        <v>37</v>
      </c>
      <c r="D608" t="s">
        <v>428</v>
      </c>
      <c r="E608" t="s">
        <v>212</v>
      </c>
      <c r="F608" t="s">
        <v>53</v>
      </c>
      <c r="H608">
        <v>59.99</v>
      </c>
      <c r="J608" t="s">
        <v>33</v>
      </c>
      <c r="K608" t="s">
        <v>28</v>
      </c>
      <c r="L608" t="s">
        <v>35</v>
      </c>
    </row>
    <row r="609" spans="1:13" x14ac:dyDescent="0.25">
      <c r="A609">
        <v>1607</v>
      </c>
      <c r="B609" t="s">
        <v>370</v>
      </c>
      <c r="C609" t="s">
        <v>42</v>
      </c>
      <c r="D609" t="s">
        <v>43</v>
      </c>
      <c r="E609" t="s">
        <v>31</v>
      </c>
      <c r="F609" t="s">
        <v>32</v>
      </c>
      <c r="H609" t="s">
        <v>125</v>
      </c>
      <c r="J609" t="s">
        <v>54</v>
      </c>
      <c r="K609" t="s">
        <v>129</v>
      </c>
      <c r="L609" t="s">
        <v>40</v>
      </c>
      <c r="M609" t="s">
        <v>63</v>
      </c>
    </row>
    <row r="610" spans="1:13" x14ac:dyDescent="0.25">
      <c r="A610">
        <v>1608</v>
      </c>
      <c r="B610" t="s">
        <v>476</v>
      </c>
      <c r="C610" t="s">
        <v>42</v>
      </c>
      <c r="D610" t="s">
        <v>43</v>
      </c>
      <c r="E610" t="s">
        <v>82</v>
      </c>
      <c r="F610" t="s">
        <v>60</v>
      </c>
      <c r="G610">
        <v>3</v>
      </c>
      <c r="H610" t="s">
        <v>61</v>
      </c>
      <c r="J610" t="s">
        <v>62</v>
      </c>
      <c r="K610" t="s">
        <v>129</v>
      </c>
      <c r="L610" t="s">
        <v>46</v>
      </c>
    </row>
    <row r="611" spans="1:13" x14ac:dyDescent="0.25">
      <c r="A611">
        <v>1609</v>
      </c>
      <c r="B611" t="s">
        <v>493</v>
      </c>
      <c r="C611" t="s">
        <v>23</v>
      </c>
      <c r="D611" t="s">
        <v>81</v>
      </c>
      <c r="E611" t="s">
        <v>127</v>
      </c>
      <c r="F611" t="s">
        <v>73</v>
      </c>
      <c r="G611">
        <v>5</v>
      </c>
      <c r="H611">
        <v>29.99</v>
      </c>
      <c r="J611" t="s">
        <v>33</v>
      </c>
      <c r="K611" t="s">
        <v>34</v>
      </c>
      <c r="L611" t="s">
        <v>35</v>
      </c>
    </row>
    <row r="612" spans="1:13" x14ac:dyDescent="0.25">
      <c r="A612">
        <v>1610</v>
      </c>
      <c r="B612" t="s">
        <v>494</v>
      </c>
      <c r="C612" t="s">
        <v>42</v>
      </c>
      <c r="D612" t="s">
        <v>239</v>
      </c>
      <c r="E612" t="s">
        <v>82</v>
      </c>
      <c r="F612" t="s">
        <v>60</v>
      </c>
      <c r="H612">
        <v>4.99</v>
      </c>
      <c r="J612" t="s">
        <v>19</v>
      </c>
      <c r="K612" t="s">
        <v>28</v>
      </c>
      <c r="L612" t="s">
        <v>29</v>
      </c>
    </row>
    <row r="613" spans="1:13" x14ac:dyDescent="0.25">
      <c r="A613">
        <v>1611</v>
      </c>
      <c r="C613" t="s">
        <v>23</v>
      </c>
      <c r="D613" t="s">
        <v>81</v>
      </c>
      <c r="E613" t="s">
        <v>52</v>
      </c>
      <c r="F613" t="s">
        <v>53</v>
      </c>
      <c r="H613" t="s">
        <v>97</v>
      </c>
      <c r="J613" t="s">
        <v>57</v>
      </c>
      <c r="K613" t="s">
        <v>20</v>
      </c>
      <c r="L613" t="s">
        <v>46</v>
      </c>
      <c r="M613" t="s">
        <v>63</v>
      </c>
    </row>
    <row r="614" spans="1:13" x14ac:dyDescent="0.25">
      <c r="A614">
        <v>1612</v>
      </c>
      <c r="B614" t="s">
        <v>495</v>
      </c>
      <c r="C614" t="s">
        <v>23</v>
      </c>
      <c r="D614" t="s">
        <v>124</v>
      </c>
      <c r="E614" t="s">
        <v>89</v>
      </c>
      <c r="F614" t="s">
        <v>17</v>
      </c>
      <c r="H614">
        <v>39.99</v>
      </c>
      <c r="J614" t="s">
        <v>27</v>
      </c>
      <c r="K614" t="s">
        <v>20</v>
      </c>
      <c r="L614" t="s">
        <v>29</v>
      </c>
    </row>
    <row r="615" spans="1:13" x14ac:dyDescent="0.25">
      <c r="A615">
        <v>1613</v>
      </c>
      <c r="B615" t="s">
        <v>496</v>
      </c>
      <c r="C615" t="s">
        <v>65</v>
      </c>
      <c r="D615" t="s">
        <v>123</v>
      </c>
      <c r="E615" t="s">
        <v>72</v>
      </c>
      <c r="F615" t="s">
        <v>73</v>
      </c>
      <c r="H615">
        <v>49.99</v>
      </c>
      <c r="J615" t="s">
        <v>33</v>
      </c>
      <c r="K615" t="s">
        <v>34</v>
      </c>
      <c r="L615" t="s">
        <v>40</v>
      </c>
    </row>
    <row r="616" spans="1:13" x14ac:dyDescent="0.25">
      <c r="A616">
        <v>1614</v>
      </c>
      <c r="B616" t="s">
        <v>497</v>
      </c>
      <c r="C616" t="s">
        <v>23</v>
      </c>
      <c r="D616" t="s">
        <v>124</v>
      </c>
      <c r="E616" t="s">
        <v>92</v>
      </c>
      <c r="F616" t="s">
        <v>26</v>
      </c>
      <c r="G616">
        <v>2</v>
      </c>
      <c r="H616">
        <v>14.99</v>
      </c>
      <c r="J616" t="s">
        <v>62</v>
      </c>
      <c r="K616" t="s">
        <v>20</v>
      </c>
      <c r="L616" t="s">
        <v>29</v>
      </c>
    </row>
    <row r="617" spans="1:13" x14ac:dyDescent="0.25">
      <c r="A617">
        <v>1615</v>
      </c>
      <c r="B617" t="s">
        <v>498</v>
      </c>
      <c r="C617" t="s">
        <v>42</v>
      </c>
      <c r="D617" t="s">
        <v>48</v>
      </c>
      <c r="E617" t="s">
        <v>212</v>
      </c>
      <c r="F617" t="s">
        <v>53</v>
      </c>
      <c r="G617">
        <v>3</v>
      </c>
      <c r="H617">
        <v>59.99</v>
      </c>
      <c r="J617" t="s">
        <v>19</v>
      </c>
      <c r="K617" t="s">
        <v>45</v>
      </c>
      <c r="L617" t="s">
        <v>21</v>
      </c>
    </row>
    <row r="618" spans="1:13" x14ac:dyDescent="0.25">
      <c r="A618">
        <v>1616</v>
      </c>
      <c r="B618" t="s">
        <v>193</v>
      </c>
      <c r="C618" t="s">
        <v>65</v>
      </c>
      <c r="D618" t="s">
        <v>123</v>
      </c>
      <c r="E618" t="s">
        <v>52</v>
      </c>
      <c r="F618" t="s">
        <v>53</v>
      </c>
      <c r="G618">
        <v>4</v>
      </c>
      <c r="H618">
        <v>59.99</v>
      </c>
      <c r="J618" t="s">
        <v>27</v>
      </c>
      <c r="K618" t="s">
        <v>28</v>
      </c>
      <c r="L618" t="s">
        <v>35</v>
      </c>
    </row>
    <row r="619" spans="1:13" x14ac:dyDescent="0.25">
      <c r="A619">
        <v>1617</v>
      </c>
      <c r="C619" t="s">
        <v>65</v>
      </c>
      <c r="D619" t="s">
        <v>66</v>
      </c>
      <c r="E619" t="s">
        <v>25</v>
      </c>
      <c r="F619" t="s">
        <v>26</v>
      </c>
      <c r="G619">
        <v>2</v>
      </c>
      <c r="H619">
        <v>99.99</v>
      </c>
      <c r="J619" t="s">
        <v>27</v>
      </c>
      <c r="K619" t="s">
        <v>20</v>
      </c>
      <c r="L619" t="s">
        <v>35</v>
      </c>
    </row>
    <row r="620" spans="1:13" x14ac:dyDescent="0.25">
      <c r="A620">
        <v>1618</v>
      </c>
      <c r="C620" t="s">
        <v>77</v>
      </c>
      <c r="D620" t="s">
        <v>114</v>
      </c>
      <c r="E620" t="s">
        <v>127</v>
      </c>
      <c r="F620" t="s">
        <v>73</v>
      </c>
      <c r="H620" t="s">
        <v>137</v>
      </c>
      <c r="J620" t="s">
        <v>57</v>
      </c>
      <c r="K620" t="s">
        <v>34</v>
      </c>
      <c r="L620" t="s">
        <v>40</v>
      </c>
    </row>
    <row r="621" spans="1:13" x14ac:dyDescent="0.25">
      <c r="A621">
        <v>1619</v>
      </c>
      <c r="C621" t="s">
        <v>37</v>
      </c>
      <c r="E621" t="s">
        <v>127</v>
      </c>
      <c r="F621" t="s">
        <v>73</v>
      </c>
      <c r="G621">
        <v>2</v>
      </c>
      <c r="H621" t="s">
        <v>137</v>
      </c>
      <c r="J621" t="s">
        <v>57</v>
      </c>
      <c r="K621" t="s">
        <v>50</v>
      </c>
      <c r="L621" t="s">
        <v>21</v>
      </c>
    </row>
    <row r="622" spans="1:13" x14ac:dyDescent="0.25">
      <c r="A622">
        <v>1620</v>
      </c>
      <c r="C622" t="s">
        <v>23</v>
      </c>
      <c r="D622" t="s">
        <v>81</v>
      </c>
      <c r="E622" t="s">
        <v>31</v>
      </c>
      <c r="F622" t="s">
        <v>32</v>
      </c>
      <c r="G622">
        <v>5</v>
      </c>
      <c r="H622" t="s">
        <v>125</v>
      </c>
      <c r="J622" t="s">
        <v>57</v>
      </c>
      <c r="K622" t="s">
        <v>34</v>
      </c>
      <c r="L622" t="s">
        <v>46</v>
      </c>
    </row>
    <row r="623" spans="1:13" x14ac:dyDescent="0.25">
      <c r="A623">
        <v>1621</v>
      </c>
      <c r="C623" t="s">
        <v>65</v>
      </c>
      <c r="D623" t="s">
        <v>123</v>
      </c>
      <c r="E623" t="s">
        <v>67</v>
      </c>
      <c r="F623" t="s">
        <v>32</v>
      </c>
      <c r="G623">
        <v>3</v>
      </c>
      <c r="H623" t="s">
        <v>125</v>
      </c>
      <c r="J623" t="s">
        <v>54</v>
      </c>
      <c r="K623" t="s">
        <v>50</v>
      </c>
      <c r="L623" t="s">
        <v>29</v>
      </c>
    </row>
    <row r="624" spans="1:13" x14ac:dyDescent="0.25">
      <c r="A624">
        <v>1622</v>
      </c>
      <c r="C624" t="s">
        <v>23</v>
      </c>
      <c r="D624" t="s">
        <v>124</v>
      </c>
      <c r="E624" t="s">
        <v>67</v>
      </c>
      <c r="F624" t="s">
        <v>32</v>
      </c>
      <c r="G624">
        <v>4</v>
      </c>
      <c r="H624" t="s">
        <v>125</v>
      </c>
      <c r="J624" t="s">
        <v>57</v>
      </c>
      <c r="K624" t="s">
        <v>20</v>
      </c>
      <c r="L624" t="s">
        <v>35</v>
      </c>
    </row>
    <row r="625" spans="1:13" x14ac:dyDescent="0.25">
      <c r="A625">
        <v>1623</v>
      </c>
      <c r="B625" t="s">
        <v>499</v>
      </c>
      <c r="C625" t="s">
        <v>77</v>
      </c>
      <c r="D625" t="s">
        <v>78</v>
      </c>
      <c r="E625" t="s">
        <v>85</v>
      </c>
      <c r="F625" t="s">
        <v>26</v>
      </c>
      <c r="H625" t="s">
        <v>86</v>
      </c>
      <c r="J625" t="s">
        <v>33</v>
      </c>
      <c r="K625" t="s">
        <v>34</v>
      </c>
      <c r="L625" t="s">
        <v>29</v>
      </c>
    </row>
    <row r="626" spans="1:13" x14ac:dyDescent="0.25">
      <c r="A626">
        <v>1624</v>
      </c>
      <c r="C626" t="s">
        <v>77</v>
      </c>
      <c r="D626" t="s">
        <v>91</v>
      </c>
      <c r="E626" t="s">
        <v>127</v>
      </c>
      <c r="F626" t="s">
        <v>73</v>
      </c>
      <c r="H626">
        <v>29.99</v>
      </c>
      <c r="J626" t="s">
        <v>62</v>
      </c>
      <c r="K626" t="s">
        <v>129</v>
      </c>
      <c r="L626" t="s">
        <v>29</v>
      </c>
    </row>
    <row r="627" spans="1:13" x14ac:dyDescent="0.25">
      <c r="A627">
        <v>1625</v>
      </c>
      <c r="B627" t="s">
        <v>500</v>
      </c>
      <c r="C627" t="s">
        <v>65</v>
      </c>
      <c r="D627" t="s">
        <v>123</v>
      </c>
      <c r="E627" t="s">
        <v>127</v>
      </c>
      <c r="F627" t="s">
        <v>73</v>
      </c>
      <c r="G627">
        <v>5</v>
      </c>
      <c r="H627">
        <v>29.99</v>
      </c>
      <c r="J627" t="s">
        <v>27</v>
      </c>
      <c r="K627" t="s">
        <v>34</v>
      </c>
      <c r="L627" t="s">
        <v>46</v>
      </c>
    </row>
    <row r="628" spans="1:13" x14ac:dyDescent="0.25">
      <c r="A628">
        <v>1626</v>
      </c>
      <c r="B628" t="s">
        <v>501</v>
      </c>
      <c r="C628" t="s">
        <v>42</v>
      </c>
      <c r="D628" t="s">
        <v>116</v>
      </c>
      <c r="E628" t="s">
        <v>212</v>
      </c>
      <c r="F628" t="s">
        <v>53</v>
      </c>
      <c r="G628">
        <v>1</v>
      </c>
      <c r="H628" t="s">
        <v>97</v>
      </c>
      <c r="J628" t="s">
        <v>33</v>
      </c>
      <c r="K628" t="s">
        <v>50</v>
      </c>
      <c r="L628" t="s">
        <v>46</v>
      </c>
    </row>
    <row r="629" spans="1:13" x14ac:dyDescent="0.25">
      <c r="A629">
        <v>1627</v>
      </c>
      <c r="B629" t="s">
        <v>502</v>
      </c>
      <c r="D629" t="s">
        <v>344</v>
      </c>
      <c r="E629" t="s">
        <v>25</v>
      </c>
      <c r="F629" t="s">
        <v>26</v>
      </c>
      <c r="G629">
        <v>1</v>
      </c>
      <c r="H629">
        <v>99.99</v>
      </c>
      <c r="J629" t="s">
        <v>54</v>
      </c>
      <c r="K629" t="s">
        <v>129</v>
      </c>
      <c r="L629" t="s">
        <v>29</v>
      </c>
      <c r="M629" t="s">
        <v>63</v>
      </c>
    </row>
    <row r="630" spans="1:13" x14ac:dyDescent="0.25">
      <c r="A630">
        <v>1628</v>
      </c>
      <c r="C630" t="s">
        <v>77</v>
      </c>
      <c r="D630" t="s">
        <v>78</v>
      </c>
      <c r="E630" t="s">
        <v>127</v>
      </c>
      <c r="F630" t="s">
        <v>73</v>
      </c>
      <c r="G630">
        <v>-1</v>
      </c>
      <c r="H630">
        <v>29.99</v>
      </c>
      <c r="J630" t="s">
        <v>54</v>
      </c>
      <c r="K630" t="s">
        <v>45</v>
      </c>
      <c r="L630" t="s">
        <v>21</v>
      </c>
    </row>
    <row r="631" spans="1:13" x14ac:dyDescent="0.25">
      <c r="A631">
        <v>1629</v>
      </c>
      <c r="B631" t="s">
        <v>503</v>
      </c>
      <c r="C631" t="s">
        <v>37</v>
      </c>
      <c r="D631" t="s">
        <v>38</v>
      </c>
      <c r="E631" t="s">
        <v>85</v>
      </c>
      <c r="F631" t="s">
        <v>26</v>
      </c>
      <c r="G631">
        <v>5</v>
      </c>
      <c r="H631">
        <v>99.99</v>
      </c>
      <c r="J631" t="s">
        <v>19</v>
      </c>
      <c r="K631" t="s">
        <v>20</v>
      </c>
      <c r="L631" t="s">
        <v>46</v>
      </c>
      <c r="M631" t="s">
        <v>63</v>
      </c>
    </row>
    <row r="632" spans="1:13" x14ac:dyDescent="0.25">
      <c r="A632">
        <v>1630</v>
      </c>
      <c r="C632" t="s">
        <v>42</v>
      </c>
      <c r="D632" t="s">
        <v>43</v>
      </c>
      <c r="E632" t="s">
        <v>89</v>
      </c>
      <c r="F632" t="s">
        <v>17</v>
      </c>
      <c r="G632">
        <v>2</v>
      </c>
      <c r="H632" t="s">
        <v>117</v>
      </c>
      <c r="J632" t="s">
        <v>33</v>
      </c>
      <c r="K632" t="s">
        <v>20</v>
      </c>
      <c r="L632" t="s">
        <v>40</v>
      </c>
    </row>
    <row r="633" spans="1:13" x14ac:dyDescent="0.25">
      <c r="A633">
        <v>1631</v>
      </c>
      <c r="B633" t="s">
        <v>192</v>
      </c>
      <c r="C633" t="s">
        <v>23</v>
      </c>
      <c r="E633" t="s">
        <v>82</v>
      </c>
      <c r="F633" t="s">
        <v>60</v>
      </c>
      <c r="G633">
        <v>1</v>
      </c>
      <c r="H633" t="s">
        <v>61</v>
      </c>
      <c r="J633" t="s">
        <v>19</v>
      </c>
      <c r="K633" t="s">
        <v>34</v>
      </c>
      <c r="L633" t="s">
        <v>35</v>
      </c>
    </row>
    <row r="634" spans="1:13" x14ac:dyDescent="0.25">
      <c r="A634">
        <v>1632</v>
      </c>
      <c r="D634" t="s">
        <v>75</v>
      </c>
      <c r="E634" t="s">
        <v>85</v>
      </c>
      <c r="F634" t="s">
        <v>26</v>
      </c>
      <c r="H634">
        <v>99.99</v>
      </c>
      <c r="J634" t="s">
        <v>27</v>
      </c>
      <c r="K634" t="s">
        <v>45</v>
      </c>
      <c r="L634" t="s">
        <v>35</v>
      </c>
    </row>
    <row r="635" spans="1:13" x14ac:dyDescent="0.25">
      <c r="A635">
        <v>1633</v>
      </c>
      <c r="B635" t="s">
        <v>504</v>
      </c>
      <c r="C635" t="s">
        <v>23</v>
      </c>
      <c r="D635" t="s">
        <v>24</v>
      </c>
      <c r="E635" t="s">
        <v>95</v>
      </c>
      <c r="F635" t="s">
        <v>73</v>
      </c>
      <c r="H635" t="s">
        <v>137</v>
      </c>
      <c r="J635" t="s">
        <v>27</v>
      </c>
      <c r="K635" t="s">
        <v>50</v>
      </c>
      <c r="L635" t="s">
        <v>46</v>
      </c>
    </row>
    <row r="636" spans="1:13" x14ac:dyDescent="0.25">
      <c r="A636">
        <v>1634</v>
      </c>
      <c r="C636" t="s">
        <v>23</v>
      </c>
      <c r="D636" t="s">
        <v>505</v>
      </c>
      <c r="E636" t="s">
        <v>95</v>
      </c>
      <c r="F636" t="s">
        <v>73</v>
      </c>
      <c r="G636">
        <v>5</v>
      </c>
      <c r="H636" t="s">
        <v>137</v>
      </c>
      <c r="J636" t="s">
        <v>33</v>
      </c>
      <c r="K636" t="s">
        <v>28</v>
      </c>
      <c r="L636" t="s">
        <v>21</v>
      </c>
    </row>
    <row r="637" spans="1:13" x14ac:dyDescent="0.25">
      <c r="A637">
        <v>1635</v>
      </c>
      <c r="B637" t="s">
        <v>506</v>
      </c>
      <c r="C637" t="s">
        <v>42</v>
      </c>
      <c r="D637" t="s">
        <v>43</v>
      </c>
      <c r="E637" t="s">
        <v>59</v>
      </c>
      <c r="F637" t="s">
        <v>60</v>
      </c>
      <c r="G637">
        <v>-1</v>
      </c>
      <c r="H637">
        <v>4.99</v>
      </c>
      <c r="J637" t="s">
        <v>54</v>
      </c>
      <c r="K637" t="s">
        <v>129</v>
      </c>
      <c r="L637" t="s">
        <v>21</v>
      </c>
    </row>
    <row r="638" spans="1:13" x14ac:dyDescent="0.25">
      <c r="A638">
        <v>1636</v>
      </c>
      <c r="B638" t="s">
        <v>507</v>
      </c>
      <c r="C638" t="s">
        <v>23</v>
      </c>
      <c r="D638" t="s">
        <v>24</v>
      </c>
      <c r="E638" t="s">
        <v>72</v>
      </c>
      <c r="F638" t="s">
        <v>73</v>
      </c>
      <c r="G638">
        <v>5</v>
      </c>
      <c r="H638">
        <v>49.99</v>
      </c>
      <c r="J638" t="s">
        <v>57</v>
      </c>
      <c r="K638" t="s">
        <v>68</v>
      </c>
      <c r="L638" t="s">
        <v>29</v>
      </c>
    </row>
    <row r="639" spans="1:13" x14ac:dyDescent="0.25">
      <c r="A639">
        <v>1637</v>
      </c>
      <c r="B639" t="s">
        <v>508</v>
      </c>
      <c r="C639" t="s">
        <v>23</v>
      </c>
      <c r="D639" t="s">
        <v>81</v>
      </c>
      <c r="E639" t="s">
        <v>95</v>
      </c>
      <c r="F639" t="s">
        <v>73</v>
      </c>
      <c r="G639">
        <v>-1</v>
      </c>
      <c r="H639">
        <v>29.99</v>
      </c>
      <c r="J639" t="s">
        <v>62</v>
      </c>
      <c r="K639" t="s">
        <v>34</v>
      </c>
      <c r="L639" t="s">
        <v>35</v>
      </c>
    </row>
    <row r="640" spans="1:13" x14ac:dyDescent="0.25">
      <c r="A640">
        <v>1638</v>
      </c>
      <c r="B640" t="s">
        <v>132</v>
      </c>
      <c r="C640" t="s">
        <v>37</v>
      </c>
      <c r="D640" t="s">
        <v>38</v>
      </c>
      <c r="E640" t="s">
        <v>72</v>
      </c>
      <c r="F640" t="s">
        <v>73</v>
      </c>
      <c r="G640">
        <v>4</v>
      </c>
      <c r="H640" t="s">
        <v>108</v>
      </c>
      <c r="J640" t="s">
        <v>33</v>
      </c>
      <c r="K640" t="s">
        <v>28</v>
      </c>
      <c r="L640" t="s">
        <v>35</v>
      </c>
    </row>
    <row r="641" spans="1:13" x14ac:dyDescent="0.25">
      <c r="A641">
        <v>1639</v>
      </c>
      <c r="B641" t="s">
        <v>509</v>
      </c>
      <c r="C641" t="s">
        <v>23</v>
      </c>
      <c r="D641" t="s">
        <v>24</v>
      </c>
      <c r="E641" t="s">
        <v>49</v>
      </c>
      <c r="F641" t="s">
        <v>26</v>
      </c>
      <c r="G641">
        <v>5</v>
      </c>
      <c r="H641">
        <v>14.99</v>
      </c>
      <c r="J641" t="s">
        <v>62</v>
      </c>
      <c r="K641" t="s">
        <v>50</v>
      </c>
      <c r="L641" t="s">
        <v>21</v>
      </c>
    </row>
    <row r="642" spans="1:13" x14ac:dyDescent="0.25">
      <c r="A642">
        <v>1640</v>
      </c>
      <c r="B642" t="s">
        <v>510</v>
      </c>
      <c r="C642" t="s">
        <v>42</v>
      </c>
      <c r="D642" t="s">
        <v>43</v>
      </c>
      <c r="E642" t="s">
        <v>67</v>
      </c>
      <c r="F642" t="s">
        <v>32</v>
      </c>
      <c r="G642">
        <v>-1</v>
      </c>
      <c r="H642" t="s">
        <v>125</v>
      </c>
      <c r="J642" t="s">
        <v>62</v>
      </c>
      <c r="K642" t="s">
        <v>20</v>
      </c>
      <c r="L642" t="s">
        <v>40</v>
      </c>
    </row>
    <row r="643" spans="1:13" x14ac:dyDescent="0.25">
      <c r="A643">
        <v>1641</v>
      </c>
      <c r="B643" t="s">
        <v>511</v>
      </c>
      <c r="C643" t="s">
        <v>65</v>
      </c>
      <c r="D643" t="s">
        <v>123</v>
      </c>
      <c r="E643" t="s">
        <v>92</v>
      </c>
      <c r="F643" t="s">
        <v>26</v>
      </c>
      <c r="G643">
        <v>1</v>
      </c>
      <c r="H643" t="s">
        <v>56</v>
      </c>
      <c r="J643" t="s">
        <v>33</v>
      </c>
      <c r="K643" t="s">
        <v>45</v>
      </c>
      <c r="L643" t="s">
        <v>46</v>
      </c>
      <c r="M643" t="s">
        <v>63</v>
      </c>
    </row>
    <row r="644" spans="1:13" x14ac:dyDescent="0.25">
      <c r="A644">
        <v>1642</v>
      </c>
      <c r="B644" t="s">
        <v>512</v>
      </c>
      <c r="C644" t="s">
        <v>42</v>
      </c>
      <c r="D644" t="s">
        <v>43</v>
      </c>
      <c r="E644" t="s">
        <v>52</v>
      </c>
      <c r="F644" t="s">
        <v>53</v>
      </c>
      <c r="G644">
        <v>4</v>
      </c>
      <c r="H644">
        <v>59.99</v>
      </c>
      <c r="J644" t="s">
        <v>57</v>
      </c>
      <c r="K644" t="s">
        <v>28</v>
      </c>
      <c r="L644" t="s">
        <v>29</v>
      </c>
    </row>
    <row r="645" spans="1:13" x14ac:dyDescent="0.25">
      <c r="A645">
        <v>1643</v>
      </c>
      <c r="B645" t="s">
        <v>513</v>
      </c>
      <c r="D645" t="s">
        <v>162</v>
      </c>
      <c r="E645" t="s">
        <v>67</v>
      </c>
      <c r="F645" t="s">
        <v>32</v>
      </c>
      <c r="G645">
        <v>1</v>
      </c>
      <c r="H645">
        <v>79.989999999999995</v>
      </c>
      <c r="J645" t="s">
        <v>54</v>
      </c>
      <c r="K645" t="s">
        <v>20</v>
      </c>
      <c r="L645" t="s">
        <v>21</v>
      </c>
    </row>
    <row r="646" spans="1:13" x14ac:dyDescent="0.25">
      <c r="A646">
        <v>1644</v>
      </c>
      <c r="C646" t="s">
        <v>70</v>
      </c>
      <c r="D646" t="s">
        <v>131</v>
      </c>
      <c r="E646" t="s">
        <v>92</v>
      </c>
      <c r="F646" t="s">
        <v>26</v>
      </c>
      <c r="G646">
        <v>-1</v>
      </c>
      <c r="H646" t="s">
        <v>56</v>
      </c>
      <c r="J646" t="s">
        <v>27</v>
      </c>
      <c r="K646" t="s">
        <v>50</v>
      </c>
      <c r="L646" t="s">
        <v>40</v>
      </c>
    </row>
    <row r="647" spans="1:13" x14ac:dyDescent="0.25">
      <c r="A647">
        <v>1645</v>
      </c>
      <c r="C647" t="s">
        <v>65</v>
      </c>
      <c r="D647" t="s">
        <v>126</v>
      </c>
      <c r="E647" t="s">
        <v>72</v>
      </c>
      <c r="F647" t="s">
        <v>73</v>
      </c>
      <c r="G647">
        <v>4</v>
      </c>
      <c r="H647">
        <v>49.99</v>
      </c>
      <c r="J647" t="s">
        <v>54</v>
      </c>
      <c r="K647" t="s">
        <v>45</v>
      </c>
      <c r="L647" t="s">
        <v>29</v>
      </c>
    </row>
    <row r="648" spans="1:13" x14ac:dyDescent="0.25">
      <c r="A648">
        <v>1646</v>
      </c>
      <c r="B648" t="s">
        <v>514</v>
      </c>
      <c r="C648" t="s">
        <v>65</v>
      </c>
      <c r="D648" t="s">
        <v>123</v>
      </c>
      <c r="E648" t="s">
        <v>95</v>
      </c>
      <c r="F648" t="s">
        <v>73</v>
      </c>
      <c r="G648">
        <v>3</v>
      </c>
      <c r="H648">
        <v>29.99</v>
      </c>
      <c r="J648" t="s">
        <v>57</v>
      </c>
      <c r="K648" t="s">
        <v>129</v>
      </c>
      <c r="L648" t="s">
        <v>21</v>
      </c>
    </row>
    <row r="649" spans="1:13" x14ac:dyDescent="0.25">
      <c r="A649">
        <v>1647</v>
      </c>
      <c r="C649" t="s">
        <v>42</v>
      </c>
      <c r="D649" t="s">
        <v>401</v>
      </c>
      <c r="E649" t="s">
        <v>127</v>
      </c>
      <c r="F649" t="s">
        <v>73</v>
      </c>
      <c r="G649">
        <v>-1</v>
      </c>
      <c r="H649">
        <v>29.99</v>
      </c>
      <c r="J649" t="s">
        <v>57</v>
      </c>
      <c r="K649" t="s">
        <v>50</v>
      </c>
      <c r="L649" t="s">
        <v>40</v>
      </c>
    </row>
    <row r="650" spans="1:13" x14ac:dyDescent="0.25">
      <c r="A650">
        <v>1648</v>
      </c>
      <c r="B650" t="s">
        <v>515</v>
      </c>
      <c r="C650" t="s">
        <v>14</v>
      </c>
      <c r="D650" t="s">
        <v>84</v>
      </c>
      <c r="E650" t="s">
        <v>82</v>
      </c>
      <c r="F650" t="s">
        <v>60</v>
      </c>
      <c r="G650">
        <v>2</v>
      </c>
      <c r="H650" t="s">
        <v>61</v>
      </c>
      <c r="J650" t="s">
        <v>62</v>
      </c>
      <c r="K650" t="s">
        <v>28</v>
      </c>
      <c r="L650" t="s">
        <v>40</v>
      </c>
    </row>
    <row r="651" spans="1:13" x14ac:dyDescent="0.25">
      <c r="A651">
        <v>1649</v>
      </c>
      <c r="C651" t="s">
        <v>14</v>
      </c>
      <c r="D651" t="s">
        <v>15</v>
      </c>
      <c r="E651" t="s">
        <v>25</v>
      </c>
      <c r="F651" t="s">
        <v>26</v>
      </c>
      <c r="G651">
        <v>5</v>
      </c>
      <c r="H651">
        <v>99.99</v>
      </c>
      <c r="J651" t="s">
        <v>62</v>
      </c>
      <c r="K651" t="s">
        <v>45</v>
      </c>
      <c r="L651" t="s">
        <v>46</v>
      </c>
    </row>
    <row r="652" spans="1:13" x14ac:dyDescent="0.25">
      <c r="B652" t="s">
        <v>516</v>
      </c>
      <c r="C652" t="s">
        <v>77</v>
      </c>
      <c r="D652" t="s">
        <v>91</v>
      </c>
      <c r="E652" t="s">
        <v>39</v>
      </c>
      <c r="F652" t="s">
        <v>17</v>
      </c>
      <c r="G652">
        <v>4</v>
      </c>
      <c r="H652" t="s">
        <v>117</v>
      </c>
      <c r="J652" t="s">
        <v>27</v>
      </c>
      <c r="K652" t="s">
        <v>34</v>
      </c>
      <c r="L652" t="s">
        <v>21</v>
      </c>
    </row>
    <row r="653" spans="1:13" x14ac:dyDescent="0.25">
      <c r="A653">
        <v>1651</v>
      </c>
      <c r="D653" t="s">
        <v>131</v>
      </c>
      <c r="E653" t="s">
        <v>44</v>
      </c>
      <c r="F653" t="s">
        <v>17</v>
      </c>
      <c r="G653">
        <v>1</v>
      </c>
      <c r="H653">
        <v>15.99</v>
      </c>
      <c r="J653" t="s">
        <v>19</v>
      </c>
      <c r="K653" t="s">
        <v>20</v>
      </c>
      <c r="L653" t="s">
        <v>29</v>
      </c>
    </row>
    <row r="654" spans="1:13" x14ac:dyDescent="0.25">
      <c r="A654">
        <v>1652</v>
      </c>
      <c r="C654" t="s">
        <v>14</v>
      </c>
      <c r="D654" t="s">
        <v>84</v>
      </c>
      <c r="E654" t="s">
        <v>31</v>
      </c>
      <c r="F654" t="s">
        <v>32</v>
      </c>
      <c r="G654">
        <v>4</v>
      </c>
      <c r="H654">
        <v>79.989999999999995</v>
      </c>
      <c r="J654" t="s">
        <v>19</v>
      </c>
      <c r="K654" t="s">
        <v>68</v>
      </c>
      <c r="L654" t="s">
        <v>46</v>
      </c>
    </row>
    <row r="655" spans="1:13" x14ac:dyDescent="0.25">
      <c r="A655">
        <v>1653</v>
      </c>
      <c r="B655" t="s">
        <v>507</v>
      </c>
      <c r="C655" t="s">
        <v>14</v>
      </c>
      <c r="D655" t="s">
        <v>84</v>
      </c>
      <c r="E655" t="s">
        <v>82</v>
      </c>
      <c r="F655" t="s">
        <v>60</v>
      </c>
      <c r="G655">
        <v>4</v>
      </c>
      <c r="H655" t="s">
        <v>61</v>
      </c>
      <c r="J655" t="s">
        <v>54</v>
      </c>
      <c r="K655" t="s">
        <v>28</v>
      </c>
      <c r="L655" t="s">
        <v>21</v>
      </c>
    </row>
    <row r="656" spans="1:13" x14ac:dyDescent="0.25">
      <c r="A656">
        <v>1654</v>
      </c>
      <c r="B656" t="s">
        <v>517</v>
      </c>
      <c r="C656" t="s">
        <v>42</v>
      </c>
      <c r="D656" t="s">
        <v>48</v>
      </c>
      <c r="E656" t="s">
        <v>52</v>
      </c>
      <c r="F656" t="s">
        <v>53</v>
      </c>
      <c r="G656">
        <v>-1</v>
      </c>
      <c r="H656" t="s">
        <v>97</v>
      </c>
      <c r="J656" t="s">
        <v>62</v>
      </c>
      <c r="K656" t="s">
        <v>20</v>
      </c>
      <c r="L656" t="s">
        <v>40</v>
      </c>
      <c r="M656" t="s">
        <v>63</v>
      </c>
    </row>
    <row r="657" spans="1:13" x14ac:dyDescent="0.25">
      <c r="A657">
        <v>1655</v>
      </c>
      <c r="C657" t="s">
        <v>14</v>
      </c>
      <c r="D657" t="s">
        <v>15</v>
      </c>
      <c r="E657" t="s">
        <v>82</v>
      </c>
      <c r="F657" t="s">
        <v>60</v>
      </c>
      <c r="H657" t="s">
        <v>61</v>
      </c>
      <c r="J657" t="s">
        <v>54</v>
      </c>
      <c r="K657" t="s">
        <v>34</v>
      </c>
      <c r="L657" t="s">
        <v>40</v>
      </c>
    </row>
    <row r="658" spans="1:13" x14ac:dyDescent="0.25">
      <c r="A658">
        <v>1656</v>
      </c>
      <c r="B658" t="s">
        <v>417</v>
      </c>
      <c r="C658" t="s">
        <v>70</v>
      </c>
      <c r="D658" t="s">
        <v>88</v>
      </c>
      <c r="E658" t="s">
        <v>92</v>
      </c>
      <c r="F658" t="s">
        <v>26</v>
      </c>
      <c r="G658">
        <v>1</v>
      </c>
      <c r="H658">
        <v>14.99</v>
      </c>
      <c r="J658" t="s">
        <v>27</v>
      </c>
      <c r="K658" t="s">
        <v>45</v>
      </c>
      <c r="L658" t="s">
        <v>35</v>
      </c>
    </row>
    <row r="659" spans="1:13" x14ac:dyDescent="0.25">
      <c r="A659">
        <v>1657</v>
      </c>
      <c r="B659" t="s">
        <v>518</v>
      </c>
      <c r="C659" t="s">
        <v>37</v>
      </c>
      <c r="D659" t="s">
        <v>169</v>
      </c>
      <c r="E659" t="s">
        <v>31</v>
      </c>
      <c r="F659" t="s">
        <v>32</v>
      </c>
      <c r="G659">
        <v>2</v>
      </c>
      <c r="H659">
        <v>79.989999999999995</v>
      </c>
      <c r="J659" t="s">
        <v>27</v>
      </c>
      <c r="K659" t="s">
        <v>55</v>
      </c>
      <c r="L659" t="s">
        <v>40</v>
      </c>
    </row>
    <row r="660" spans="1:13" x14ac:dyDescent="0.25">
      <c r="A660">
        <v>1658</v>
      </c>
      <c r="B660" t="s">
        <v>361</v>
      </c>
      <c r="C660" t="s">
        <v>77</v>
      </c>
      <c r="D660" t="s">
        <v>91</v>
      </c>
      <c r="E660" t="s">
        <v>25</v>
      </c>
      <c r="F660" t="s">
        <v>26</v>
      </c>
      <c r="G660">
        <v>5</v>
      </c>
      <c r="H660" t="s">
        <v>86</v>
      </c>
      <c r="J660" t="s">
        <v>54</v>
      </c>
      <c r="K660" t="s">
        <v>20</v>
      </c>
      <c r="L660" t="s">
        <v>21</v>
      </c>
      <c r="M660" t="s">
        <v>63</v>
      </c>
    </row>
    <row r="661" spans="1:13" x14ac:dyDescent="0.25">
      <c r="A661">
        <v>1659</v>
      </c>
      <c r="C661" t="s">
        <v>14</v>
      </c>
      <c r="D661" t="s">
        <v>15</v>
      </c>
      <c r="E661" t="s">
        <v>31</v>
      </c>
      <c r="F661" t="s">
        <v>32</v>
      </c>
      <c r="H661">
        <v>79.989999999999995</v>
      </c>
      <c r="J661" t="s">
        <v>62</v>
      </c>
      <c r="K661" t="s">
        <v>28</v>
      </c>
      <c r="L661" t="s">
        <v>35</v>
      </c>
    </row>
    <row r="662" spans="1:13" x14ac:dyDescent="0.25">
      <c r="A662">
        <v>1660</v>
      </c>
      <c r="B662" t="s">
        <v>519</v>
      </c>
      <c r="C662" t="s">
        <v>37</v>
      </c>
      <c r="E662" t="s">
        <v>85</v>
      </c>
      <c r="F662" t="s">
        <v>26</v>
      </c>
      <c r="G662">
        <v>4</v>
      </c>
      <c r="H662" t="s">
        <v>86</v>
      </c>
      <c r="J662" t="s">
        <v>54</v>
      </c>
      <c r="K662" t="s">
        <v>55</v>
      </c>
      <c r="L662" t="s">
        <v>21</v>
      </c>
    </row>
    <row r="663" spans="1:13" x14ac:dyDescent="0.25">
      <c r="A663">
        <v>1661</v>
      </c>
      <c r="B663" t="s">
        <v>520</v>
      </c>
      <c r="C663" t="s">
        <v>77</v>
      </c>
      <c r="D663" t="s">
        <v>78</v>
      </c>
      <c r="E663" t="s">
        <v>89</v>
      </c>
      <c r="F663" t="s">
        <v>17</v>
      </c>
      <c r="G663">
        <v>5</v>
      </c>
      <c r="H663">
        <v>39.99</v>
      </c>
      <c r="J663" t="s">
        <v>57</v>
      </c>
      <c r="K663" t="s">
        <v>34</v>
      </c>
      <c r="L663" t="s">
        <v>29</v>
      </c>
    </row>
    <row r="664" spans="1:13" x14ac:dyDescent="0.25">
      <c r="A664">
        <v>1662</v>
      </c>
      <c r="C664" t="s">
        <v>42</v>
      </c>
      <c r="D664" t="s">
        <v>116</v>
      </c>
      <c r="E664" t="s">
        <v>31</v>
      </c>
      <c r="F664" t="s">
        <v>32</v>
      </c>
      <c r="H664">
        <v>79.989999999999995</v>
      </c>
      <c r="J664" t="s">
        <v>54</v>
      </c>
      <c r="K664" t="s">
        <v>34</v>
      </c>
      <c r="L664" t="s">
        <v>40</v>
      </c>
    </row>
    <row r="665" spans="1:13" x14ac:dyDescent="0.25">
      <c r="A665">
        <v>1663</v>
      </c>
      <c r="B665" t="s">
        <v>521</v>
      </c>
      <c r="C665" t="s">
        <v>65</v>
      </c>
      <c r="D665" t="s">
        <v>101</v>
      </c>
      <c r="E665" t="s">
        <v>85</v>
      </c>
      <c r="F665" t="s">
        <v>26</v>
      </c>
      <c r="G665">
        <v>1</v>
      </c>
      <c r="H665">
        <v>99.99</v>
      </c>
      <c r="J665" t="s">
        <v>57</v>
      </c>
      <c r="K665" t="s">
        <v>34</v>
      </c>
      <c r="L665" t="s">
        <v>46</v>
      </c>
    </row>
    <row r="666" spans="1:13" x14ac:dyDescent="0.25">
      <c r="A666">
        <v>1664</v>
      </c>
      <c r="B666" t="s">
        <v>206</v>
      </c>
      <c r="C666" t="s">
        <v>65</v>
      </c>
      <c r="D666" t="s">
        <v>123</v>
      </c>
      <c r="E666" t="s">
        <v>49</v>
      </c>
      <c r="F666" t="s">
        <v>26</v>
      </c>
      <c r="H666">
        <v>14.99</v>
      </c>
      <c r="J666" t="s">
        <v>19</v>
      </c>
      <c r="K666" t="s">
        <v>129</v>
      </c>
      <c r="L666" t="s">
        <v>29</v>
      </c>
    </row>
    <row r="667" spans="1:13" x14ac:dyDescent="0.25">
      <c r="A667">
        <v>1665</v>
      </c>
      <c r="B667" t="s">
        <v>180</v>
      </c>
      <c r="C667" t="s">
        <v>77</v>
      </c>
      <c r="D667" t="s">
        <v>78</v>
      </c>
      <c r="E667" t="s">
        <v>44</v>
      </c>
      <c r="F667" t="s">
        <v>17</v>
      </c>
      <c r="G667">
        <v>2</v>
      </c>
      <c r="H667" t="s">
        <v>18</v>
      </c>
      <c r="J667" t="s">
        <v>54</v>
      </c>
      <c r="K667" t="s">
        <v>45</v>
      </c>
      <c r="L667" t="s">
        <v>21</v>
      </c>
      <c r="M667" t="s">
        <v>63</v>
      </c>
    </row>
    <row r="668" spans="1:13" x14ac:dyDescent="0.25">
      <c r="A668">
        <v>1666</v>
      </c>
      <c r="B668" t="s">
        <v>522</v>
      </c>
      <c r="C668" t="s">
        <v>23</v>
      </c>
      <c r="D668" t="s">
        <v>124</v>
      </c>
      <c r="E668" t="s">
        <v>44</v>
      </c>
      <c r="F668" t="s">
        <v>17</v>
      </c>
      <c r="G668">
        <v>2</v>
      </c>
      <c r="H668">
        <v>15.99</v>
      </c>
      <c r="J668" t="s">
        <v>33</v>
      </c>
      <c r="K668" t="s">
        <v>129</v>
      </c>
      <c r="L668" t="s">
        <v>35</v>
      </c>
    </row>
    <row r="669" spans="1:13" x14ac:dyDescent="0.25">
      <c r="A669">
        <v>1667</v>
      </c>
      <c r="C669" t="s">
        <v>23</v>
      </c>
      <c r="D669" t="s">
        <v>491</v>
      </c>
      <c r="E669" t="s">
        <v>72</v>
      </c>
      <c r="F669" t="s">
        <v>73</v>
      </c>
      <c r="G669">
        <v>3</v>
      </c>
      <c r="H669">
        <v>49.99</v>
      </c>
      <c r="J669" t="s">
        <v>62</v>
      </c>
      <c r="K669" t="s">
        <v>34</v>
      </c>
      <c r="L669" t="s">
        <v>29</v>
      </c>
    </row>
    <row r="670" spans="1:13" x14ac:dyDescent="0.25">
      <c r="A670">
        <v>1668</v>
      </c>
      <c r="B670" t="s">
        <v>523</v>
      </c>
      <c r="D670" t="s">
        <v>309</v>
      </c>
      <c r="E670" t="s">
        <v>85</v>
      </c>
      <c r="F670" t="s">
        <v>26</v>
      </c>
      <c r="H670" t="s">
        <v>86</v>
      </c>
      <c r="J670" t="s">
        <v>62</v>
      </c>
      <c r="K670" t="s">
        <v>45</v>
      </c>
      <c r="L670" t="s">
        <v>40</v>
      </c>
    </row>
    <row r="671" spans="1:13" x14ac:dyDescent="0.25">
      <c r="A671">
        <v>1669</v>
      </c>
      <c r="B671" t="s">
        <v>524</v>
      </c>
      <c r="C671" t="s">
        <v>23</v>
      </c>
      <c r="D671" t="s">
        <v>124</v>
      </c>
      <c r="E671" t="s">
        <v>52</v>
      </c>
      <c r="F671" t="s">
        <v>53</v>
      </c>
      <c r="G671">
        <v>-1</v>
      </c>
      <c r="H671">
        <v>59.99</v>
      </c>
      <c r="J671" t="s">
        <v>19</v>
      </c>
      <c r="K671" t="s">
        <v>55</v>
      </c>
      <c r="L671" t="s">
        <v>35</v>
      </c>
    </row>
    <row r="672" spans="1:13" x14ac:dyDescent="0.25">
      <c r="A672">
        <v>1670</v>
      </c>
      <c r="B672" t="s">
        <v>383</v>
      </c>
      <c r="C672" t="s">
        <v>37</v>
      </c>
      <c r="E672" t="s">
        <v>67</v>
      </c>
      <c r="F672" t="s">
        <v>32</v>
      </c>
      <c r="H672" t="s">
        <v>125</v>
      </c>
      <c r="J672" t="s">
        <v>54</v>
      </c>
      <c r="K672" t="s">
        <v>129</v>
      </c>
      <c r="L672" t="s">
        <v>29</v>
      </c>
    </row>
    <row r="673" spans="1:12" x14ac:dyDescent="0.25">
      <c r="A673">
        <v>1671</v>
      </c>
      <c r="C673" t="s">
        <v>14</v>
      </c>
      <c r="D673" t="s">
        <v>84</v>
      </c>
      <c r="E673" t="s">
        <v>52</v>
      </c>
      <c r="F673" t="s">
        <v>53</v>
      </c>
      <c r="H673">
        <v>59.99</v>
      </c>
      <c r="J673" t="s">
        <v>57</v>
      </c>
      <c r="K673" t="s">
        <v>50</v>
      </c>
      <c r="L673" t="s">
        <v>21</v>
      </c>
    </row>
    <row r="674" spans="1:12" x14ac:dyDescent="0.25">
      <c r="A674">
        <v>1672</v>
      </c>
      <c r="B674" t="s">
        <v>525</v>
      </c>
      <c r="C674" t="s">
        <v>42</v>
      </c>
      <c r="D674" t="s">
        <v>43</v>
      </c>
      <c r="E674" t="s">
        <v>107</v>
      </c>
      <c r="F674" t="s">
        <v>73</v>
      </c>
      <c r="G674">
        <v>2</v>
      </c>
      <c r="H674">
        <v>49.99</v>
      </c>
      <c r="J674" t="s">
        <v>27</v>
      </c>
      <c r="K674" t="s">
        <v>50</v>
      </c>
      <c r="L674" t="s">
        <v>35</v>
      </c>
    </row>
    <row r="675" spans="1:12" x14ac:dyDescent="0.25">
      <c r="A675">
        <v>1673</v>
      </c>
      <c r="B675" t="s">
        <v>526</v>
      </c>
      <c r="C675" t="s">
        <v>77</v>
      </c>
      <c r="D675" t="s">
        <v>301</v>
      </c>
      <c r="E675" t="s">
        <v>82</v>
      </c>
      <c r="F675" t="s">
        <v>60</v>
      </c>
      <c r="G675">
        <v>5</v>
      </c>
      <c r="H675">
        <v>4.99</v>
      </c>
      <c r="J675" t="s">
        <v>54</v>
      </c>
      <c r="K675" t="s">
        <v>68</v>
      </c>
      <c r="L675" t="s">
        <v>40</v>
      </c>
    </row>
    <row r="676" spans="1:12" x14ac:dyDescent="0.25">
      <c r="A676">
        <v>1674</v>
      </c>
      <c r="B676" t="s">
        <v>527</v>
      </c>
      <c r="C676" t="s">
        <v>70</v>
      </c>
      <c r="D676" t="s">
        <v>88</v>
      </c>
      <c r="E676" t="s">
        <v>39</v>
      </c>
      <c r="F676" t="s">
        <v>17</v>
      </c>
      <c r="H676" t="s">
        <v>117</v>
      </c>
      <c r="J676" t="s">
        <v>33</v>
      </c>
      <c r="K676" t="s">
        <v>45</v>
      </c>
      <c r="L676" t="s">
        <v>21</v>
      </c>
    </row>
    <row r="677" spans="1:12" x14ac:dyDescent="0.25">
      <c r="A677">
        <v>1675</v>
      </c>
      <c r="C677" t="s">
        <v>14</v>
      </c>
      <c r="D677" t="s">
        <v>84</v>
      </c>
      <c r="E677" t="s">
        <v>89</v>
      </c>
      <c r="F677" t="s">
        <v>17</v>
      </c>
      <c r="G677">
        <v>3</v>
      </c>
      <c r="H677">
        <v>39.99</v>
      </c>
      <c r="J677" t="s">
        <v>19</v>
      </c>
      <c r="K677" t="s">
        <v>28</v>
      </c>
      <c r="L677" t="s">
        <v>29</v>
      </c>
    </row>
    <row r="678" spans="1:12" x14ac:dyDescent="0.25">
      <c r="A678">
        <v>1676</v>
      </c>
      <c r="B678" t="s">
        <v>528</v>
      </c>
      <c r="C678" t="s">
        <v>77</v>
      </c>
      <c r="D678" t="s">
        <v>91</v>
      </c>
      <c r="E678" t="s">
        <v>31</v>
      </c>
      <c r="F678" t="s">
        <v>32</v>
      </c>
      <c r="G678">
        <v>5</v>
      </c>
      <c r="H678">
        <v>79.989999999999995</v>
      </c>
      <c r="J678" t="s">
        <v>62</v>
      </c>
      <c r="K678" t="s">
        <v>34</v>
      </c>
      <c r="L678" t="s">
        <v>46</v>
      </c>
    </row>
    <row r="679" spans="1:12" x14ac:dyDescent="0.25">
      <c r="A679">
        <v>1677</v>
      </c>
      <c r="B679" t="s">
        <v>459</v>
      </c>
      <c r="C679" t="s">
        <v>70</v>
      </c>
      <c r="D679" t="s">
        <v>131</v>
      </c>
      <c r="E679" t="s">
        <v>52</v>
      </c>
      <c r="F679" t="s">
        <v>53</v>
      </c>
      <c r="G679">
        <v>4</v>
      </c>
      <c r="H679" t="s">
        <v>97</v>
      </c>
      <c r="J679" t="s">
        <v>62</v>
      </c>
      <c r="K679" t="s">
        <v>50</v>
      </c>
      <c r="L679" t="s">
        <v>46</v>
      </c>
    </row>
    <row r="680" spans="1:12" x14ac:dyDescent="0.25">
      <c r="A680">
        <v>1678</v>
      </c>
      <c r="B680" t="s">
        <v>267</v>
      </c>
      <c r="C680" t="s">
        <v>23</v>
      </c>
      <c r="D680" t="s">
        <v>24</v>
      </c>
      <c r="E680" t="s">
        <v>82</v>
      </c>
      <c r="F680" t="s">
        <v>60</v>
      </c>
      <c r="H680" t="s">
        <v>61</v>
      </c>
      <c r="J680" t="s">
        <v>27</v>
      </c>
      <c r="K680" t="s">
        <v>129</v>
      </c>
      <c r="L680" t="s">
        <v>21</v>
      </c>
    </row>
    <row r="681" spans="1:12" x14ac:dyDescent="0.25">
      <c r="A681">
        <v>1679</v>
      </c>
      <c r="B681" t="s">
        <v>529</v>
      </c>
      <c r="C681" t="s">
        <v>65</v>
      </c>
      <c r="D681" t="s">
        <v>123</v>
      </c>
      <c r="E681" t="s">
        <v>39</v>
      </c>
      <c r="F681" t="s">
        <v>17</v>
      </c>
      <c r="G681">
        <v>2</v>
      </c>
      <c r="H681">
        <v>39.99</v>
      </c>
      <c r="J681" t="s">
        <v>54</v>
      </c>
      <c r="K681" t="s">
        <v>129</v>
      </c>
      <c r="L681" t="s">
        <v>35</v>
      </c>
    </row>
    <row r="682" spans="1:12" x14ac:dyDescent="0.25">
      <c r="A682">
        <v>1680</v>
      </c>
      <c r="B682" t="s">
        <v>530</v>
      </c>
      <c r="C682" t="s">
        <v>23</v>
      </c>
      <c r="D682" t="s">
        <v>24</v>
      </c>
      <c r="E682" t="s">
        <v>39</v>
      </c>
      <c r="F682" t="s">
        <v>17</v>
      </c>
      <c r="G682">
        <v>5</v>
      </c>
      <c r="H682">
        <v>39.99</v>
      </c>
      <c r="J682" t="s">
        <v>57</v>
      </c>
      <c r="K682" t="s">
        <v>20</v>
      </c>
      <c r="L682" t="s">
        <v>35</v>
      </c>
    </row>
    <row r="683" spans="1:12" x14ac:dyDescent="0.25">
      <c r="A683">
        <v>1681</v>
      </c>
      <c r="C683" t="s">
        <v>77</v>
      </c>
      <c r="D683" t="s">
        <v>114</v>
      </c>
      <c r="E683" t="s">
        <v>31</v>
      </c>
      <c r="F683" t="s">
        <v>32</v>
      </c>
      <c r="G683">
        <v>1</v>
      </c>
      <c r="H683" t="s">
        <v>125</v>
      </c>
      <c r="J683" t="s">
        <v>33</v>
      </c>
      <c r="K683" t="s">
        <v>68</v>
      </c>
      <c r="L683" t="s">
        <v>29</v>
      </c>
    </row>
    <row r="684" spans="1:12" x14ac:dyDescent="0.25">
      <c r="A684">
        <v>1682</v>
      </c>
      <c r="C684" t="s">
        <v>14</v>
      </c>
      <c r="D684" t="s">
        <v>15</v>
      </c>
      <c r="E684" t="s">
        <v>82</v>
      </c>
      <c r="F684" t="s">
        <v>60</v>
      </c>
      <c r="G684">
        <v>2</v>
      </c>
      <c r="H684">
        <v>4.99</v>
      </c>
      <c r="J684" t="s">
        <v>62</v>
      </c>
      <c r="K684" t="s">
        <v>34</v>
      </c>
      <c r="L684" t="s">
        <v>21</v>
      </c>
    </row>
    <row r="685" spans="1:12" x14ac:dyDescent="0.25">
      <c r="A685">
        <v>1683</v>
      </c>
      <c r="C685" t="s">
        <v>23</v>
      </c>
      <c r="D685" t="s">
        <v>24</v>
      </c>
      <c r="E685" t="s">
        <v>67</v>
      </c>
      <c r="F685" t="s">
        <v>32</v>
      </c>
      <c r="G685">
        <v>2</v>
      </c>
      <c r="H685">
        <v>79.989999999999995</v>
      </c>
      <c r="J685" t="s">
        <v>57</v>
      </c>
      <c r="K685" t="s">
        <v>68</v>
      </c>
      <c r="L685" t="s">
        <v>21</v>
      </c>
    </row>
    <row r="686" spans="1:12" x14ac:dyDescent="0.25">
      <c r="A686">
        <v>1684</v>
      </c>
      <c r="B686" t="s">
        <v>531</v>
      </c>
      <c r="C686" t="s">
        <v>70</v>
      </c>
      <c r="D686" t="s">
        <v>88</v>
      </c>
      <c r="E686" t="s">
        <v>49</v>
      </c>
      <c r="F686" t="s">
        <v>26</v>
      </c>
      <c r="G686">
        <v>4</v>
      </c>
      <c r="H686">
        <v>14.99</v>
      </c>
      <c r="J686" t="s">
        <v>62</v>
      </c>
      <c r="K686" t="s">
        <v>28</v>
      </c>
      <c r="L686" t="s">
        <v>29</v>
      </c>
    </row>
    <row r="687" spans="1:12" x14ac:dyDescent="0.25">
      <c r="A687">
        <v>1685</v>
      </c>
      <c r="B687" t="s">
        <v>532</v>
      </c>
      <c r="C687" t="s">
        <v>23</v>
      </c>
      <c r="D687" t="s">
        <v>81</v>
      </c>
      <c r="E687" t="s">
        <v>107</v>
      </c>
      <c r="F687" t="s">
        <v>73</v>
      </c>
      <c r="G687">
        <v>5</v>
      </c>
      <c r="H687">
        <v>49.99</v>
      </c>
      <c r="J687" t="s">
        <v>19</v>
      </c>
      <c r="K687" t="s">
        <v>34</v>
      </c>
      <c r="L687" t="s">
        <v>35</v>
      </c>
    </row>
    <row r="688" spans="1:12" x14ac:dyDescent="0.25">
      <c r="A688">
        <v>1686</v>
      </c>
      <c r="B688" t="s">
        <v>533</v>
      </c>
      <c r="C688" t="s">
        <v>14</v>
      </c>
      <c r="D688" t="s">
        <v>75</v>
      </c>
      <c r="E688" t="s">
        <v>67</v>
      </c>
      <c r="F688" t="s">
        <v>32</v>
      </c>
      <c r="G688">
        <v>2</v>
      </c>
      <c r="H688">
        <v>79.989999999999995</v>
      </c>
      <c r="J688" t="s">
        <v>54</v>
      </c>
      <c r="K688" t="s">
        <v>20</v>
      </c>
      <c r="L688" t="s">
        <v>35</v>
      </c>
    </row>
    <row r="689" spans="1:12" x14ac:dyDescent="0.25">
      <c r="A689">
        <v>1687</v>
      </c>
      <c r="B689" t="s">
        <v>185</v>
      </c>
      <c r="C689" t="s">
        <v>42</v>
      </c>
      <c r="D689" t="s">
        <v>48</v>
      </c>
      <c r="E689" t="s">
        <v>67</v>
      </c>
      <c r="F689" t="s">
        <v>32</v>
      </c>
      <c r="G689">
        <v>3</v>
      </c>
      <c r="H689">
        <v>79.989999999999995</v>
      </c>
      <c r="J689" t="s">
        <v>54</v>
      </c>
      <c r="K689" t="s">
        <v>45</v>
      </c>
      <c r="L689" t="s">
        <v>29</v>
      </c>
    </row>
    <row r="690" spans="1:12" x14ac:dyDescent="0.25">
      <c r="A690">
        <v>1688</v>
      </c>
      <c r="B690" t="s">
        <v>513</v>
      </c>
      <c r="C690" t="s">
        <v>14</v>
      </c>
      <c r="D690" t="s">
        <v>84</v>
      </c>
      <c r="E690" t="s">
        <v>92</v>
      </c>
      <c r="F690" t="s">
        <v>26</v>
      </c>
      <c r="G690">
        <v>1</v>
      </c>
      <c r="H690">
        <v>14.99</v>
      </c>
      <c r="J690" t="s">
        <v>27</v>
      </c>
      <c r="K690" t="s">
        <v>45</v>
      </c>
      <c r="L690" t="s">
        <v>35</v>
      </c>
    </row>
    <row r="691" spans="1:12" x14ac:dyDescent="0.25">
      <c r="A691">
        <v>1689</v>
      </c>
      <c r="B691" t="s">
        <v>182</v>
      </c>
      <c r="C691" t="s">
        <v>23</v>
      </c>
      <c r="D691" t="s">
        <v>491</v>
      </c>
      <c r="E691" t="s">
        <v>85</v>
      </c>
      <c r="F691" t="s">
        <v>26</v>
      </c>
      <c r="H691">
        <v>99.99</v>
      </c>
      <c r="J691" t="s">
        <v>62</v>
      </c>
      <c r="K691" t="s">
        <v>34</v>
      </c>
      <c r="L691" t="s">
        <v>29</v>
      </c>
    </row>
    <row r="692" spans="1:12" x14ac:dyDescent="0.25">
      <c r="A692">
        <v>1690</v>
      </c>
      <c r="B692" t="s">
        <v>121</v>
      </c>
      <c r="C692" t="s">
        <v>14</v>
      </c>
      <c r="D692" t="s">
        <v>15</v>
      </c>
      <c r="E692" t="s">
        <v>44</v>
      </c>
      <c r="F692" t="s">
        <v>17</v>
      </c>
      <c r="G692">
        <v>1</v>
      </c>
      <c r="H692">
        <v>15.99</v>
      </c>
      <c r="J692" t="s">
        <v>54</v>
      </c>
      <c r="K692" t="s">
        <v>34</v>
      </c>
      <c r="L692" t="s">
        <v>35</v>
      </c>
    </row>
    <row r="693" spans="1:12" x14ac:dyDescent="0.25">
      <c r="A693">
        <v>1691</v>
      </c>
      <c r="C693" t="s">
        <v>77</v>
      </c>
      <c r="D693" t="s">
        <v>78</v>
      </c>
      <c r="E693" t="s">
        <v>85</v>
      </c>
      <c r="F693" t="s">
        <v>26</v>
      </c>
      <c r="G693">
        <v>5</v>
      </c>
      <c r="H693">
        <v>99.99</v>
      </c>
      <c r="J693" t="s">
        <v>62</v>
      </c>
      <c r="K693" t="s">
        <v>50</v>
      </c>
      <c r="L693" t="s">
        <v>35</v>
      </c>
    </row>
    <row r="694" spans="1:12" x14ac:dyDescent="0.25">
      <c r="A694">
        <v>1692</v>
      </c>
      <c r="C694" t="s">
        <v>77</v>
      </c>
      <c r="D694" t="s">
        <v>103</v>
      </c>
      <c r="E694" t="s">
        <v>127</v>
      </c>
      <c r="F694" t="s">
        <v>73</v>
      </c>
      <c r="G694">
        <v>5</v>
      </c>
      <c r="H694" t="s">
        <v>137</v>
      </c>
      <c r="J694" t="s">
        <v>62</v>
      </c>
      <c r="K694" t="s">
        <v>28</v>
      </c>
      <c r="L694" t="s">
        <v>35</v>
      </c>
    </row>
    <row r="695" spans="1:12" x14ac:dyDescent="0.25">
      <c r="A695">
        <v>1693</v>
      </c>
      <c r="B695" t="s">
        <v>64</v>
      </c>
      <c r="C695" t="s">
        <v>77</v>
      </c>
      <c r="D695" t="s">
        <v>120</v>
      </c>
      <c r="E695" t="s">
        <v>82</v>
      </c>
      <c r="F695" t="s">
        <v>60</v>
      </c>
      <c r="G695">
        <v>5</v>
      </c>
      <c r="H695" t="s">
        <v>61</v>
      </c>
      <c r="J695" t="s">
        <v>19</v>
      </c>
      <c r="K695" t="s">
        <v>55</v>
      </c>
      <c r="L695" t="s">
        <v>35</v>
      </c>
    </row>
    <row r="696" spans="1:12" x14ac:dyDescent="0.25">
      <c r="A696">
        <v>1694</v>
      </c>
      <c r="C696" t="s">
        <v>70</v>
      </c>
      <c r="D696" t="s">
        <v>71</v>
      </c>
      <c r="E696" t="s">
        <v>44</v>
      </c>
      <c r="F696" t="s">
        <v>17</v>
      </c>
      <c r="G696">
        <v>1</v>
      </c>
      <c r="H696" t="s">
        <v>18</v>
      </c>
      <c r="J696" t="s">
        <v>19</v>
      </c>
      <c r="K696" t="s">
        <v>34</v>
      </c>
      <c r="L696" t="s">
        <v>21</v>
      </c>
    </row>
    <row r="697" spans="1:12" x14ac:dyDescent="0.25">
      <c r="A697">
        <v>1695</v>
      </c>
      <c r="B697" t="s">
        <v>534</v>
      </c>
      <c r="C697" t="s">
        <v>42</v>
      </c>
      <c r="D697" t="s">
        <v>116</v>
      </c>
      <c r="E697" t="s">
        <v>44</v>
      </c>
      <c r="F697" t="s">
        <v>17</v>
      </c>
      <c r="G697">
        <v>3</v>
      </c>
      <c r="H697">
        <v>15.99</v>
      </c>
      <c r="J697" t="s">
        <v>19</v>
      </c>
      <c r="K697" t="s">
        <v>55</v>
      </c>
      <c r="L697" t="s">
        <v>46</v>
      </c>
    </row>
    <row r="698" spans="1:12" x14ac:dyDescent="0.25">
      <c r="A698">
        <v>1696</v>
      </c>
      <c r="B698" t="s">
        <v>214</v>
      </c>
      <c r="C698" t="s">
        <v>70</v>
      </c>
      <c r="D698" t="s">
        <v>131</v>
      </c>
      <c r="E698" t="s">
        <v>85</v>
      </c>
      <c r="F698" t="s">
        <v>26</v>
      </c>
      <c r="G698">
        <v>2</v>
      </c>
      <c r="H698">
        <v>99.99</v>
      </c>
      <c r="J698" t="s">
        <v>27</v>
      </c>
      <c r="K698" t="s">
        <v>55</v>
      </c>
      <c r="L698" t="s">
        <v>29</v>
      </c>
    </row>
    <row r="699" spans="1:12" x14ac:dyDescent="0.25">
      <c r="C699" t="s">
        <v>14</v>
      </c>
      <c r="D699" t="s">
        <v>75</v>
      </c>
      <c r="E699" t="s">
        <v>85</v>
      </c>
      <c r="F699" t="s">
        <v>26</v>
      </c>
      <c r="G699">
        <v>4</v>
      </c>
      <c r="H699" t="s">
        <v>86</v>
      </c>
      <c r="J699" t="s">
        <v>27</v>
      </c>
      <c r="K699" t="s">
        <v>55</v>
      </c>
      <c r="L699" t="s">
        <v>46</v>
      </c>
    </row>
    <row r="700" spans="1:12" x14ac:dyDescent="0.25">
      <c r="A700">
        <v>1698</v>
      </c>
      <c r="B700" t="s">
        <v>216</v>
      </c>
      <c r="C700" t="s">
        <v>70</v>
      </c>
      <c r="D700" t="s">
        <v>71</v>
      </c>
      <c r="E700" t="s">
        <v>25</v>
      </c>
      <c r="F700" t="s">
        <v>26</v>
      </c>
      <c r="H700" t="s">
        <v>86</v>
      </c>
      <c r="J700" t="s">
        <v>62</v>
      </c>
      <c r="K700" t="s">
        <v>50</v>
      </c>
      <c r="L700" t="s">
        <v>35</v>
      </c>
    </row>
    <row r="701" spans="1:12" x14ac:dyDescent="0.25">
      <c r="A701">
        <v>1699</v>
      </c>
      <c r="B701" t="s">
        <v>535</v>
      </c>
      <c r="C701" t="s">
        <v>37</v>
      </c>
      <c r="D701" t="s">
        <v>285</v>
      </c>
      <c r="E701" t="s">
        <v>16</v>
      </c>
      <c r="F701" t="s">
        <v>17</v>
      </c>
      <c r="G701">
        <v>2</v>
      </c>
      <c r="H701">
        <v>15.99</v>
      </c>
      <c r="J701" t="s">
        <v>27</v>
      </c>
      <c r="K701" t="s">
        <v>34</v>
      </c>
      <c r="L701" t="s">
        <v>21</v>
      </c>
    </row>
    <row r="702" spans="1:12" x14ac:dyDescent="0.25">
      <c r="A702">
        <v>1700</v>
      </c>
      <c r="C702" t="s">
        <v>65</v>
      </c>
      <c r="D702" t="s">
        <v>66</v>
      </c>
      <c r="E702" t="s">
        <v>127</v>
      </c>
      <c r="F702" t="s">
        <v>73</v>
      </c>
      <c r="H702">
        <v>29.99</v>
      </c>
      <c r="J702" t="s">
        <v>57</v>
      </c>
      <c r="K702" t="s">
        <v>129</v>
      </c>
      <c r="L702" t="s">
        <v>21</v>
      </c>
    </row>
    <row r="703" spans="1:12" x14ac:dyDescent="0.25">
      <c r="A703">
        <v>1701</v>
      </c>
      <c r="B703" t="s">
        <v>536</v>
      </c>
      <c r="C703" t="s">
        <v>70</v>
      </c>
      <c r="D703" t="s">
        <v>88</v>
      </c>
      <c r="E703" t="s">
        <v>16</v>
      </c>
      <c r="F703" t="s">
        <v>17</v>
      </c>
      <c r="G703">
        <v>4</v>
      </c>
      <c r="H703" t="s">
        <v>18</v>
      </c>
      <c r="J703" t="s">
        <v>62</v>
      </c>
      <c r="K703" t="s">
        <v>45</v>
      </c>
      <c r="L703" t="s">
        <v>40</v>
      </c>
    </row>
    <row r="704" spans="1:12" x14ac:dyDescent="0.25">
      <c r="A704">
        <v>1702</v>
      </c>
      <c r="C704" t="s">
        <v>65</v>
      </c>
      <c r="D704" t="s">
        <v>123</v>
      </c>
      <c r="E704" t="s">
        <v>127</v>
      </c>
      <c r="F704" t="s">
        <v>73</v>
      </c>
      <c r="G704">
        <v>-1</v>
      </c>
      <c r="H704">
        <v>29.99</v>
      </c>
      <c r="J704" t="s">
        <v>19</v>
      </c>
      <c r="K704" t="s">
        <v>34</v>
      </c>
      <c r="L704" t="s">
        <v>21</v>
      </c>
    </row>
    <row r="705" spans="1:12" x14ac:dyDescent="0.25">
      <c r="A705">
        <v>1703</v>
      </c>
      <c r="C705" t="s">
        <v>37</v>
      </c>
      <c r="E705" t="s">
        <v>39</v>
      </c>
      <c r="F705" t="s">
        <v>17</v>
      </c>
      <c r="H705" t="s">
        <v>117</v>
      </c>
      <c r="J705" t="s">
        <v>54</v>
      </c>
      <c r="K705" t="s">
        <v>129</v>
      </c>
      <c r="L705" t="s">
        <v>29</v>
      </c>
    </row>
    <row r="706" spans="1:12" x14ac:dyDescent="0.25">
      <c r="A706">
        <v>1704</v>
      </c>
      <c r="B706" t="s">
        <v>537</v>
      </c>
      <c r="C706" t="s">
        <v>37</v>
      </c>
      <c r="D706" t="s">
        <v>162</v>
      </c>
      <c r="E706" t="s">
        <v>31</v>
      </c>
      <c r="F706" t="s">
        <v>32</v>
      </c>
      <c r="G706">
        <v>-1</v>
      </c>
      <c r="H706">
        <v>79.989999999999995</v>
      </c>
      <c r="J706" t="s">
        <v>62</v>
      </c>
      <c r="K706" t="s">
        <v>50</v>
      </c>
      <c r="L706" t="s">
        <v>46</v>
      </c>
    </row>
    <row r="707" spans="1:12" x14ac:dyDescent="0.25">
      <c r="A707">
        <v>1705</v>
      </c>
      <c r="B707" t="s">
        <v>216</v>
      </c>
      <c r="C707" t="s">
        <v>14</v>
      </c>
      <c r="D707" t="s">
        <v>75</v>
      </c>
      <c r="E707" t="s">
        <v>107</v>
      </c>
      <c r="F707" t="s">
        <v>73</v>
      </c>
      <c r="H707" t="s">
        <v>108</v>
      </c>
      <c r="J707" t="s">
        <v>62</v>
      </c>
      <c r="K707" t="s">
        <v>45</v>
      </c>
      <c r="L707" t="s">
        <v>29</v>
      </c>
    </row>
    <row r="708" spans="1:12" x14ac:dyDescent="0.25">
      <c r="A708">
        <v>1706</v>
      </c>
      <c r="B708" t="s">
        <v>367</v>
      </c>
      <c r="C708" t="s">
        <v>70</v>
      </c>
      <c r="D708" t="s">
        <v>144</v>
      </c>
      <c r="E708" t="s">
        <v>44</v>
      </c>
      <c r="F708" t="s">
        <v>17</v>
      </c>
      <c r="H708">
        <v>15.99</v>
      </c>
      <c r="J708" t="s">
        <v>62</v>
      </c>
      <c r="K708" t="s">
        <v>28</v>
      </c>
      <c r="L708" t="s">
        <v>40</v>
      </c>
    </row>
    <row r="709" spans="1:12" x14ac:dyDescent="0.25">
      <c r="A709">
        <v>1707</v>
      </c>
      <c r="B709" t="s">
        <v>538</v>
      </c>
      <c r="C709" t="s">
        <v>77</v>
      </c>
      <c r="D709" t="s">
        <v>114</v>
      </c>
      <c r="E709" t="s">
        <v>67</v>
      </c>
      <c r="F709" t="s">
        <v>32</v>
      </c>
      <c r="G709">
        <v>-1</v>
      </c>
      <c r="H709">
        <v>79.989999999999995</v>
      </c>
      <c r="J709" t="s">
        <v>27</v>
      </c>
      <c r="K709" t="s">
        <v>28</v>
      </c>
      <c r="L709" t="s">
        <v>35</v>
      </c>
    </row>
    <row r="710" spans="1:12" x14ac:dyDescent="0.25">
      <c r="B710" t="s">
        <v>483</v>
      </c>
      <c r="C710" t="s">
        <v>14</v>
      </c>
      <c r="D710" t="s">
        <v>84</v>
      </c>
      <c r="E710" t="s">
        <v>67</v>
      </c>
      <c r="F710" t="s">
        <v>32</v>
      </c>
      <c r="G710">
        <v>-1</v>
      </c>
      <c r="H710" t="s">
        <v>125</v>
      </c>
      <c r="J710" t="s">
        <v>57</v>
      </c>
      <c r="K710" t="s">
        <v>20</v>
      </c>
      <c r="L710" t="s">
        <v>35</v>
      </c>
    </row>
    <row r="711" spans="1:12" x14ac:dyDescent="0.25">
      <c r="A711">
        <v>1709</v>
      </c>
      <c r="B711" t="s">
        <v>539</v>
      </c>
      <c r="C711" t="s">
        <v>42</v>
      </c>
      <c r="D711" t="s">
        <v>43</v>
      </c>
      <c r="E711" t="s">
        <v>127</v>
      </c>
      <c r="F711" t="s">
        <v>73</v>
      </c>
      <c r="G711">
        <v>-1</v>
      </c>
      <c r="H711">
        <v>29.99</v>
      </c>
      <c r="J711" t="s">
        <v>57</v>
      </c>
      <c r="K711" t="s">
        <v>129</v>
      </c>
      <c r="L711" t="s">
        <v>46</v>
      </c>
    </row>
    <row r="712" spans="1:12" x14ac:dyDescent="0.25">
      <c r="A712">
        <v>1710</v>
      </c>
      <c r="B712" t="s">
        <v>540</v>
      </c>
      <c r="C712" t="s">
        <v>42</v>
      </c>
      <c r="D712" t="s">
        <v>116</v>
      </c>
      <c r="E712" t="s">
        <v>49</v>
      </c>
      <c r="F712" t="s">
        <v>26</v>
      </c>
      <c r="G712">
        <v>2</v>
      </c>
      <c r="H712">
        <v>14.99</v>
      </c>
      <c r="J712" t="s">
        <v>54</v>
      </c>
      <c r="K712" t="s">
        <v>45</v>
      </c>
      <c r="L712" t="s">
        <v>21</v>
      </c>
    </row>
    <row r="713" spans="1:12" x14ac:dyDescent="0.25">
      <c r="A713">
        <v>1711</v>
      </c>
      <c r="B713" t="s">
        <v>541</v>
      </c>
      <c r="C713" t="s">
        <v>42</v>
      </c>
      <c r="D713" t="s">
        <v>48</v>
      </c>
      <c r="E713" t="s">
        <v>82</v>
      </c>
      <c r="F713" t="s">
        <v>60</v>
      </c>
      <c r="H713">
        <v>4.99</v>
      </c>
      <c r="J713" t="s">
        <v>57</v>
      </c>
      <c r="K713" t="s">
        <v>34</v>
      </c>
      <c r="L713" t="s">
        <v>46</v>
      </c>
    </row>
    <row r="714" spans="1:12" x14ac:dyDescent="0.25">
      <c r="A714">
        <v>1712</v>
      </c>
      <c r="B714" t="s">
        <v>542</v>
      </c>
      <c r="C714" t="s">
        <v>70</v>
      </c>
      <c r="D714" t="s">
        <v>71</v>
      </c>
      <c r="E714" t="s">
        <v>44</v>
      </c>
      <c r="F714" t="s">
        <v>17</v>
      </c>
      <c r="G714">
        <v>2</v>
      </c>
      <c r="H714">
        <v>15.99</v>
      </c>
      <c r="J714" t="s">
        <v>62</v>
      </c>
      <c r="K714" t="s">
        <v>20</v>
      </c>
      <c r="L714" t="s">
        <v>29</v>
      </c>
    </row>
    <row r="715" spans="1:12" x14ac:dyDescent="0.25">
      <c r="A715">
        <v>1713</v>
      </c>
      <c r="B715" t="s">
        <v>262</v>
      </c>
      <c r="C715" t="s">
        <v>70</v>
      </c>
      <c r="D715" t="s">
        <v>88</v>
      </c>
      <c r="E715" t="s">
        <v>72</v>
      </c>
      <c r="F715" t="s">
        <v>73</v>
      </c>
      <c r="H715">
        <v>49.99</v>
      </c>
      <c r="J715" t="s">
        <v>27</v>
      </c>
      <c r="K715" t="s">
        <v>50</v>
      </c>
      <c r="L715" t="s">
        <v>46</v>
      </c>
    </row>
    <row r="716" spans="1:12" x14ac:dyDescent="0.25">
      <c r="A716">
        <v>1714</v>
      </c>
      <c r="B716" t="s">
        <v>543</v>
      </c>
      <c r="C716" t="s">
        <v>23</v>
      </c>
      <c r="D716" t="s">
        <v>81</v>
      </c>
      <c r="E716" t="s">
        <v>31</v>
      </c>
      <c r="F716" t="s">
        <v>32</v>
      </c>
      <c r="G716">
        <v>2</v>
      </c>
      <c r="H716">
        <v>79.989999999999995</v>
      </c>
      <c r="J716" t="s">
        <v>27</v>
      </c>
      <c r="K716" t="s">
        <v>34</v>
      </c>
      <c r="L716" t="s">
        <v>40</v>
      </c>
    </row>
    <row r="717" spans="1:12" x14ac:dyDescent="0.25">
      <c r="A717">
        <v>1715</v>
      </c>
      <c r="B717" t="s">
        <v>544</v>
      </c>
      <c r="C717" t="s">
        <v>70</v>
      </c>
      <c r="D717" t="s">
        <v>88</v>
      </c>
      <c r="E717" t="s">
        <v>44</v>
      </c>
      <c r="F717" t="s">
        <v>17</v>
      </c>
      <c r="G717">
        <v>-1</v>
      </c>
      <c r="H717">
        <v>15.99</v>
      </c>
      <c r="J717" t="s">
        <v>54</v>
      </c>
      <c r="K717" t="s">
        <v>34</v>
      </c>
      <c r="L717" t="s">
        <v>40</v>
      </c>
    </row>
    <row r="718" spans="1:12" x14ac:dyDescent="0.25">
      <c r="A718">
        <v>1716</v>
      </c>
      <c r="B718" t="s">
        <v>83</v>
      </c>
      <c r="C718" t="s">
        <v>70</v>
      </c>
      <c r="D718" t="s">
        <v>131</v>
      </c>
      <c r="E718" t="s">
        <v>212</v>
      </c>
      <c r="F718" t="s">
        <v>53</v>
      </c>
      <c r="G718">
        <v>1</v>
      </c>
      <c r="H718">
        <v>59.99</v>
      </c>
      <c r="J718" t="s">
        <v>19</v>
      </c>
      <c r="K718" t="s">
        <v>20</v>
      </c>
      <c r="L718" t="s">
        <v>21</v>
      </c>
    </row>
    <row r="719" spans="1:12" x14ac:dyDescent="0.25">
      <c r="A719">
        <v>1717</v>
      </c>
      <c r="B719" t="s">
        <v>545</v>
      </c>
      <c r="C719" t="s">
        <v>77</v>
      </c>
      <c r="D719" t="s">
        <v>120</v>
      </c>
      <c r="E719" t="s">
        <v>59</v>
      </c>
      <c r="F719" t="s">
        <v>60</v>
      </c>
      <c r="G719">
        <v>1</v>
      </c>
      <c r="H719" t="s">
        <v>61</v>
      </c>
      <c r="J719" t="s">
        <v>54</v>
      </c>
      <c r="K719" t="s">
        <v>45</v>
      </c>
      <c r="L719" t="s">
        <v>29</v>
      </c>
    </row>
    <row r="720" spans="1:12" x14ac:dyDescent="0.25">
      <c r="A720">
        <v>1718</v>
      </c>
      <c r="C720" t="s">
        <v>37</v>
      </c>
      <c r="D720" t="s">
        <v>162</v>
      </c>
      <c r="E720" t="s">
        <v>85</v>
      </c>
      <c r="F720" t="s">
        <v>26</v>
      </c>
      <c r="G720">
        <v>5</v>
      </c>
      <c r="H720" t="s">
        <v>86</v>
      </c>
      <c r="J720" t="s">
        <v>57</v>
      </c>
      <c r="K720" t="s">
        <v>28</v>
      </c>
      <c r="L720" t="s">
        <v>29</v>
      </c>
    </row>
    <row r="721" spans="1:12" x14ac:dyDescent="0.25">
      <c r="A721">
        <v>1719</v>
      </c>
      <c r="C721" t="s">
        <v>77</v>
      </c>
      <c r="D721" t="s">
        <v>91</v>
      </c>
      <c r="E721" t="s">
        <v>89</v>
      </c>
      <c r="F721" t="s">
        <v>17</v>
      </c>
      <c r="H721">
        <v>39.99</v>
      </c>
      <c r="J721" t="s">
        <v>54</v>
      </c>
      <c r="K721" t="s">
        <v>34</v>
      </c>
      <c r="L721" t="s">
        <v>35</v>
      </c>
    </row>
    <row r="722" spans="1:12" x14ac:dyDescent="0.25">
      <c r="A722">
        <v>1720</v>
      </c>
      <c r="B722" t="s">
        <v>546</v>
      </c>
      <c r="C722" t="s">
        <v>77</v>
      </c>
      <c r="D722" t="s">
        <v>301</v>
      </c>
      <c r="E722" t="s">
        <v>16</v>
      </c>
      <c r="F722" t="s">
        <v>17</v>
      </c>
      <c r="G722">
        <v>3</v>
      </c>
      <c r="H722">
        <v>15.99</v>
      </c>
      <c r="J722" t="s">
        <v>33</v>
      </c>
      <c r="K722" t="s">
        <v>28</v>
      </c>
      <c r="L722" t="s">
        <v>46</v>
      </c>
    </row>
    <row r="723" spans="1:12" x14ac:dyDescent="0.25">
      <c r="A723">
        <v>1721</v>
      </c>
      <c r="B723" t="s">
        <v>266</v>
      </c>
      <c r="C723" t="s">
        <v>14</v>
      </c>
      <c r="D723" t="s">
        <v>99</v>
      </c>
      <c r="E723" t="s">
        <v>49</v>
      </c>
      <c r="F723" t="s">
        <v>26</v>
      </c>
      <c r="H723">
        <v>14.99</v>
      </c>
      <c r="J723" t="s">
        <v>62</v>
      </c>
      <c r="K723" t="s">
        <v>28</v>
      </c>
      <c r="L723" t="s">
        <v>21</v>
      </c>
    </row>
    <row r="724" spans="1:12" x14ac:dyDescent="0.25">
      <c r="A724">
        <v>1722</v>
      </c>
      <c r="B724" t="s">
        <v>547</v>
      </c>
      <c r="C724" t="s">
        <v>37</v>
      </c>
      <c r="D724" t="s">
        <v>162</v>
      </c>
      <c r="E724" t="s">
        <v>39</v>
      </c>
      <c r="F724" t="s">
        <v>17</v>
      </c>
      <c r="G724">
        <v>2</v>
      </c>
      <c r="H724">
        <v>39.99</v>
      </c>
      <c r="J724" t="s">
        <v>27</v>
      </c>
      <c r="K724" t="s">
        <v>20</v>
      </c>
      <c r="L724" t="s">
        <v>21</v>
      </c>
    </row>
    <row r="725" spans="1:12" x14ac:dyDescent="0.25">
      <c r="A725">
        <v>1723</v>
      </c>
      <c r="C725" t="s">
        <v>77</v>
      </c>
      <c r="D725" t="s">
        <v>78</v>
      </c>
      <c r="E725" t="s">
        <v>72</v>
      </c>
      <c r="F725" t="s">
        <v>73</v>
      </c>
      <c r="G725">
        <v>3</v>
      </c>
      <c r="H725">
        <v>49.99</v>
      </c>
      <c r="J725" t="s">
        <v>54</v>
      </c>
      <c r="K725" t="s">
        <v>50</v>
      </c>
      <c r="L725" t="s">
        <v>46</v>
      </c>
    </row>
    <row r="726" spans="1:12" x14ac:dyDescent="0.25">
      <c r="A726">
        <v>1724</v>
      </c>
      <c r="B726" t="s">
        <v>548</v>
      </c>
      <c r="C726" t="s">
        <v>70</v>
      </c>
      <c r="D726" t="s">
        <v>131</v>
      </c>
      <c r="E726" t="s">
        <v>44</v>
      </c>
      <c r="F726" t="s">
        <v>17</v>
      </c>
      <c r="G726">
        <v>5</v>
      </c>
      <c r="H726" t="s">
        <v>18</v>
      </c>
      <c r="J726" t="s">
        <v>57</v>
      </c>
      <c r="K726" t="s">
        <v>129</v>
      </c>
      <c r="L726" t="s">
        <v>46</v>
      </c>
    </row>
    <row r="727" spans="1:12" x14ac:dyDescent="0.25">
      <c r="A727">
        <v>1725</v>
      </c>
      <c r="B727" t="s">
        <v>249</v>
      </c>
      <c r="C727" t="s">
        <v>23</v>
      </c>
      <c r="D727" t="s">
        <v>24</v>
      </c>
      <c r="E727" t="s">
        <v>82</v>
      </c>
      <c r="F727" t="s">
        <v>60</v>
      </c>
      <c r="G727">
        <v>-1</v>
      </c>
      <c r="H727" t="s">
        <v>61</v>
      </c>
      <c r="J727" t="s">
        <v>54</v>
      </c>
      <c r="K727" t="s">
        <v>129</v>
      </c>
      <c r="L727" t="s">
        <v>21</v>
      </c>
    </row>
    <row r="728" spans="1:12" x14ac:dyDescent="0.25">
      <c r="A728">
        <v>1726</v>
      </c>
      <c r="C728" t="s">
        <v>65</v>
      </c>
      <c r="D728" t="s">
        <v>123</v>
      </c>
      <c r="E728" t="s">
        <v>39</v>
      </c>
      <c r="F728" t="s">
        <v>17</v>
      </c>
      <c r="G728">
        <v>-1</v>
      </c>
      <c r="H728">
        <v>39.99</v>
      </c>
      <c r="J728" t="s">
        <v>33</v>
      </c>
      <c r="K728" t="s">
        <v>28</v>
      </c>
      <c r="L728" t="s">
        <v>46</v>
      </c>
    </row>
    <row r="729" spans="1:12" x14ac:dyDescent="0.25">
      <c r="A729">
        <v>1727</v>
      </c>
      <c r="B729" t="s">
        <v>512</v>
      </c>
      <c r="C729" t="s">
        <v>14</v>
      </c>
      <c r="E729" t="s">
        <v>85</v>
      </c>
      <c r="F729" t="s">
        <v>26</v>
      </c>
      <c r="G729">
        <v>2</v>
      </c>
      <c r="H729" t="s">
        <v>86</v>
      </c>
      <c r="J729" t="s">
        <v>33</v>
      </c>
      <c r="K729" t="s">
        <v>45</v>
      </c>
      <c r="L729" t="s">
        <v>35</v>
      </c>
    </row>
    <row r="730" spans="1:12" x14ac:dyDescent="0.25">
      <c r="A730">
        <v>1728</v>
      </c>
      <c r="B730" t="s">
        <v>549</v>
      </c>
      <c r="C730" t="s">
        <v>65</v>
      </c>
      <c r="D730" t="s">
        <v>123</v>
      </c>
      <c r="E730" t="s">
        <v>92</v>
      </c>
      <c r="F730" t="s">
        <v>26</v>
      </c>
      <c r="G730">
        <v>-1</v>
      </c>
      <c r="H730">
        <v>14.99</v>
      </c>
      <c r="J730" t="s">
        <v>54</v>
      </c>
      <c r="K730" t="s">
        <v>50</v>
      </c>
      <c r="L730" t="s">
        <v>21</v>
      </c>
    </row>
    <row r="731" spans="1:12" x14ac:dyDescent="0.25">
      <c r="A731">
        <v>1729</v>
      </c>
      <c r="C731" t="s">
        <v>77</v>
      </c>
      <c r="D731" t="s">
        <v>91</v>
      </c>
      <c r="E731" t="s">
        <v>67</v>
      </c>
      <c r="F731" t="s">
        <v>32</v>
      </c>
      <c r="H731">
        <v>79.989999999999995</v>
      </c>
      <c r="J731" t="s">
        <v>62</v>
      </c>
      <c r="K731" t="s">
        <v>45</v>
      </c>
      <c r="L731" t="s">
        <v>35</v>
      </c>
    </row>
    <row r="732" spans="1:12" x14ac:dyDescent="0.25">
      <c r="A732">
        <v>1730</v>
      </c>
      <c r="C732" t="s">
        <v>23</v>
      </c>
      <c r="D732" t="s">
        <v>124</v>
      </c>
      <c r="E732" t="s">
        <v>67</v>
      </c>
      <c r="F732" t="s">
        <v>32</v>
      </c>
      <c r="G732">
        <v>4</v>
      </c>
      <c r="H732">
        <v>79.989999999999995</v>
      </c>
      <c r="J732" t="s">
        <v>19</v>
      </c>
      <c r="K732" t="s">
        <v>55</v>
      </c>
      <c r="L732" t="s">
        <v>46</v>
      </c>
    </row>
    <row r="733" spans="1:12" x14ac:dyDescent="0.25">
      <c r="A733">
        <v>1731</v>
      </c>
      <c r="B733" t="s">
        <v>550</v>
      </c>
      <c r="C733" t="s">
        <v>77</v>
      </c>
      <c r="D733" t="s">
        <v>91</v>
      </c>
      <c r="E733" t="s">
        <v>85</v>
      </c>
      <c r="F733" t="s">
        <v>26</v>
      </c>
      <c r="G733">
        <v>-1</v>
      </c>
      <c r="H733" t="s">
        <v>86</v>
      </c>
      <c r="J733" t="s">
        <v>33</v>
      </c>
      <c r="K733" t="s">
        <v>129</v>
      </c>
      <c r="L733" t="s">
        <v>21</v>
      </c>
    </row>
    <row r="734" spans="1:12" x14ac:dyDescent="0.25">
      <c r="A734">
        <v>1732</v>
      </c>
      <c r="B734" t="s">
        <v>543</v>
      </c>
      <c r="C734" t="s">
        <v>37</v>
      </c>
      <c r="D734" t="s">
        <v>169</v>
      </c>
      <c r="E734" t="s">
        <v>52</v>
      </c>
      <c r="F734" t="s">
        <v>53</v>
      </c>
      <c r="G734">
        <v>5</v>
      </c>
      <c r="H734">
        <v>59.99</v>
      </c>
      <c r="J734" t="s">
        <v>54</v>
      </c>
      <c r="K734" t="s">
        <v>45</v>
      </c>
      <c r="L734" t="s">
        <v>35</v>
      </c>
    </row>
    <row r="735" spans="1:12" x14ac:dyDescent="0.25">
      <c r="A735">
        <v>1733</v>
      </c>
      <c r="B735" t="s">
        <v>164</v>
      </c>
      <c r="C735" t="s">
        <v>65</v>
      </c>
      <c r="E735" t="s">
        <v>44</v>
      </c>
      <c r="F735" t="s">
        <v>17</v>
      </c>
      <c r="G735">
        <v>-1</v>
      </c>
      <c r="H735">
        <v>15.99</v>
      </c>
      <c r="J735" t="s">
        <v>54</v>
      </c>
      <c r="K735" t="s">
        <v>50</v>
      </c>
      <c r="L735" t="s">
        <v>46</v>
      </c>
    </row>
    <row r="736" spans="1:12" x14ac:dyDescent="0.25">
      <c r="A736">
        <v>1734</v>
      </c>
      <c r="C736" t="s">
        <v>70</v>
      </c>
      <c r="D736" t="s">
        <v>144</v>
      </c>
      <c r="E736" t="s">
        <v>82</v>
      </c>
      <c r="F736" t="s">
        <v>60</v>
      </c>
      <c r="G736">
        <v>-1</v>
      </c>
      <c r="H736">
        <v>4.99</v>
      </c>
      <c r="J736" t="s">
        <v>54</v>
      </c>
      <c r="K736" t="s">
        <v>129</v>
      </c>
      <c r="L736" t="s">
        <v>46</v>
      </c>
    </row>
    <row r="737" spans="1:12" x14ac:dyDescent="0.25">
      <c r="A737">
        <v>1735</v>
      </c>
      <c r="B737" t="s">
        <v>551</v>
      </c>
      <c r="C737" t="s">
        <v>14</v>
      </c>
      <c r="D737" t="s">
        <v>344</v>
      </c>
      <c r="E737" t="s">
        <v>82</v>
      </c>
      <c r="F737" t="s">
        <v>60</v>
      </c>
      <c r="G737">
        <v>3</v>
      </c>
      <c r="H737">
        <v>4.99</v>
      </c>
      <c r="J737" t="s">
        <v>19</v>
      </c>
      <c r="K737" t="s">
        <v>45</v>
      </c>
      <c r="L737" t="s">
        <v>21</v>
      </c>
    </row>
    <row r="738" spans="1:12" x14ac:dyDescent="0.25">
      <c r="A738">
        <v>1736</v>
      </c>
      <c r="B738" t="s">
        <v>552</v>
      </c>
      <c r="C738" t="s">
        <v>37</v>
      </c>
      <c r="D738" t="s">
        <v>38</v>
      </c>
      <c r="E738" t="s">
        <v>85</v>
      </c>
      <c r="F738" t="s">
        <v>26</v>
      </c>
      <c r="G738">
        <v>5</v>
      </c>
      <c r="H738" t="s">
        <v>86</v>
      </c>
      <c r="J738" t="s">
        <v>33</v>
      </c>
      <c r="K738" t="s">
        <v>28</v>
      </c>
      <c r="L738" t="s">
        <v>35</v>
      </c>
    </row>
    <row r="739" spans="1:12" x14ac:dyDescent="0.25">
      <c r="A739">
        <v>1737</v>
      </c>
      <c r="C739" t="s">
        <v>37</v>
      </c>
      <c r="D739" t="s">
        <v>169</v>
      </c>
      <c r="E739" t="s">
        <v>95</v>
      </c>
      <c r="F739" t="s">
        <v>73</v>
      </c>
      <c r="G739">
        <v>5</v>
      </c>
      <c r="H739">
        <v>29.99</v>
      </c>
      <c r="J739" t="s">
        <v>19</v>
      </c>
      <c r="K739" t="s">
        <v>55</v>
      </c>
      <c r="L739" t="s">
        <v>21</v>
      </c>
    </row>
    <row r="740" spans="1:12" x14ac:dyDescent="0.25">
      <c r="A740">
        <v>1738</v>
      </c>
      <c r="B740" t="s">
        <v>553</v>
      </c>
      <c r="C740" t="s">
        <v>42</v>
      </c>
      <c r="D740" t="s">
        <v>116</v>
      </c>
      <c r="E740" t="s">
        <v>52</v>
      </c>
      <c r="F740" t="s">
        <v>53</v>
      </c>
      <c r="G740">
        <v>4</v>
      </c>
      <c r="H740">
        <v>59.99</v>
      </c>
      <c r="J740" t="s">
        <v>27</v>
      </c>
      <c r="K740" t="s">
        <v>20</v>
      </c>
      <c r="L740" t="s">
        <v>29</v>
      </c>
    </row>
    <row r="741" spans="1:12" x14ac:dyDescent="0.25">
      <c r="A741">
        <v>1739</v>
      </c>
      <c r="B741" t="s">
        <v>554</v>
      </c>
      <c r="C741" t="s">
        <v>70</v>
      </c>
      <c r="D741" t="s">
        <v>71</v>
      </c>
      <c r="E741" t="s">
        <v>39</v>
      </c>
      <c r="F741" t="s">
        <v>17</v>
      </c>
      <c r="G741">
        <v>1</v>
      </c>
      <c r="H741">
        <v>39.99</v>
      </c>
      <c r="J741" t="s">
        <v>54</v>
      </c>
      <c r="K741" t="s">
        <v>129</v>
      </c>
      <c r="L741" t="s">
        <v>29</v>
      </c>
    </row>
    <row r="742" spans="1:12" x14ac:dyDescent="0.25">
      <c r="A742">
        <v>1740</v>
      </c>
      <c r="B742" t="s">
        <v>400</v>
      </c>
      <c r="C742" t="s">
        <v>77</v>
      </c>
      <c r="D742" t="s">
        <v>91</v>
      </c>
      <c r="E742" t="s">
        <v>59</v>
      </c>
      <c r="F742" t="s">
        <v>60</v>
      </c>
      <c r="G742">
        <v>3</v>
      </c>
      <c r="H742">
        <v>4.99</v>
      </c>
      <c r="J742" t="s">
        <v>54</v>
      </c>
      <c r="K742" t="s">
        <v>68</v>
      </c>
      <c r="L742" t="s">
        <v>21</v>
      </c>
    </row>
    <row r="743" spans="1:12" x14ac:dyDescent="0.25">
      <c r="A743">
        <v>1741</v>
      </c>
      <c r="B743" t="s">
        <v>417</v>
      </c>
      <c r="C743" t="s">
        <v>77</v>
      </c>
      <c r="D743" t="s">
        <v>91</v>
      </c>
      <c r="E743" t="s">
        <v>39</v>
      </c>
      <c r="F743" t="s">
        <v>17</v>
      </c>
      <c r="H743">
        <v>39.99</v>
      </c>
      <c r="J743" t="s">
        <v>19</v>
      </c>
      <c r="K743" t="s">
        <v>28</v>
      </c>
      <c r="L743" t="s">
        <v>29</v>
      </c>
    </row>
    <row r="744" spans="1:12" x14ac:dyDescent="0.25">
      <c r="A744">
        <v>1742</v>
      </c>
      <c r="B744" t="s">
        <v>96</v>
      </c>
      <c r="C744" t="s">
        <v>70</v>
      </c>
      <c r="D744" t="s">
        <v>144</v>
      </c>
      <c r="E744" t="s">
        <v>92</v>
      </c>
      <c r="F744" t="s">
        <v>26</v>
      </c>
      <c r="G744">
        <v>1</v>
      </c>
      <c r="H744">
        <v>14.99</v>
      </c>
      <c r="J744" t="s">
        <v>54</v>
      </c>
      <c r="K744" t="s">
        <v>28</v>
      </c>
      <c r="L744" t="s">
        <v>21</v>
      </c>
    </row>
    <row r="745" spans="1:12" x14ac:dyDescent="0.25">
      <c r="A745">
        <v>1743</v>
      </c>
      <c r="C745" t="s">
        <v>70</v>
      </c>
      <c r="D745" t="s">
        <v>88</v>
      </c>
      <c r="E745" t="s">
        <v>44</v>
      </c>
      <c r="F745" t="s">
        <v>17</v>
      </c>
      <c r="G745">
        <v>3</v>
      </c>
      <c r="H745" t="s">
        <v>18</v>
      </c>
      <c r="J745" t="s">
        <v>62</v>
      </c>
      <c r="K745" t="s">
        <v>55</v>
      </c>
      <c r="L745" t="s">
        <v>35</v>
      </c>
    </row>
    <row r="746" spans="1:12" x14ac:dyDescent="0.25">
      <c r="A746">
        <v>1744</v>
      </c>
      <c r="B746" t="s">
        <v>340</v>
      </c>
      <c r="C746" t="s">
        <v>77</v>
      </c>
      <c r="D746" t="s">
        <v>78</v>
      </c>
      <c r="E746" t="s">
        <v>92</v>
      </c>
      <c r="F746" t="s">
        <v>26</v>
      </c>
      <c r="G746">
        <v>-1</v>
      </c>
      <c r="H746" t="s">
        <v>56</v>
      </c>
      <c r="J746" t="s">
        <v>27</v>
      </c>
      <c r="K746" t="s">
        <v>55</v>
      </c>
      <c r="L746" t="s">
        <v>35</v>
      </c>
    </row>
    <row r="747" spans="1:12" x14ac:dyDescent="0.25">
      <c r="A747">
        <v>1745</v>
      </c>
      <c r="B747" t="s">
        <v>555</v>
      </c>
      <c r="C747" t="s">
        <v>37</v>
      </c>
      <c r="D747" t="s">
        <v>38</v>
      </c>
      <c r="E747" t="s">
        <v>44</v>
      </c>
      <c r="F747" t="s">
        <v>17</v>
      </c>
      <c r="H747">
        <v>15.99</v>
      </c>
      <c r="J747" t="s">
        <v>54</v>
      </c>
      <c r="K747" t="s">
        <v>34</v>
      </c>
      <c r="L747" t="s">
        <v>35</v>
      </c>
    </row>
    <row r="748" spans="1:12" x14ac:dyDescent="0.25">
      <c r="A748">
        <v>1746</v>
      </c>
      <c r="B748" t="s">
        <v>316</v>
      </c>
      <c r="C748" t="s">
        <v>42</v>
      </c>
      <c r="D748" t="s">
        <v>43</v>
      </c>
      <c r="E748" t="s">
        <v>39</v>
      </c>
      <c r="F748" t="s">
        <v>17</v>
      </c>
      <c r="G748">
        <v>4</v>
      </c>
      <c r="H748">
        <v>39.99</v>
      </c>
      <c r="J748" t="s">
        <v>33</v>
      </c>
      <c r="K748" t="s">
        <v>28</v>
      </c>
      <c r="L748" t="s">
        <v>40</v>
      </c>
    </row>
    <row r="749" spans="1:12" x14ac:dyDescent="0.25">
      <c r="A749">
        <v>1747</v>
      </c>
      <c r="B749" t="s">
        <v>429</v>
      </c>
      <c r="C749" t="s">
        <v>42</v>
      </c>
      <c r="D749" t="s">
        <v>48</v>
      </c>
      <c r="E749" t="s">
        <v>85</v>
      </c>
      <c r="F749" t="s">
        <v>26</v>
      </c>
      <c r="H749" t="s">
        <v>86</v>
      </c>
      <c r="J749" t="s">
        <v>57</v>
      </c>
      <c r="K749" t="s">
        <v>20</v>
      </c>
      <c r="L749" t="s">
        <v>29</v>
      </c>
    </row>
    <row r="750" spans="1:12" x14ac:dyDescent="0.25">
      <c r="A750">
        <v>1748</v>
      </c>
      <c r="B750" t="s">
        <v>556</v>
      </c>
      <c r="C750" t="s">
        <v>23</v>
      </c>
      <c r="D750" t="s">
        <v>24</v>
      </c>
      <c r="E750" t="s">
        <v>85</v>
      </c>
      <c r="F750" t="s">
        <v>26</v>
      </c>
      <c r="G750">
        <v>5</v>
      </c>
      <c r="H750" t="s">
        <v>86</v>
      </c>
      <c r="J750" t="s">
        <v>57</v>
      </c>
      <c r="K750" t="s">
        <v>28</v>
      </c>
      <c r="L750" t="s">
        <v>35</v>
      </c>
    </row>
    <row r="751" spans="1:12" x14ac:dyDescent="0.25">
      <c r="A751">
        <v>1749</v>
      </c>
      <c r="B751" t="s">
        <v>557</v>
      </c>
      <c r="C751" t="s">
        <v>23</v>
      </c>
      <c r="D751" t="s">
        <v>24</v>
      </c>
      <c r="E751" t="s">
        <v>39</v>
      </c>
      <c r="F751" t="s">
        <v>17</v>
      </c>
      <c r="G751">
        <v>4</v>
      </c>
      <c r="H751">
        <v>39.99</v>
      </c>
      <c r="J751" t="s">
        <v>54</v>
      </c>
      <c r="K751" t="s">
        <v>34</v>
      </c>
      <c r="L751" t="s">
        <v>21</v>
      </c>
    </row>
    <row r="752" spans="1:12" x14ac:dyDescent="0.25">
      <c r="A752">
        <v>1750</v>
      </c>
      <c r="B752" t="s">
        <v>558</v>
      </c>
      <c r="C752" t="s">
        <v>23</v>
      </c>
      <c r="D752" t="s">
        <v>81</v>
      </c>
      <c r="E752" t="s">
        <v>44</v>
      </c>
      <c r="F752" t="s">
        <v>17</v>
      </c>
      <c r="H752" t="s">
        <v>18</v>
      </c>
      <c r="J752" t="s">
        <v>27</v>
      </c>
      <c r="K752" t="s">
        <v>45</v>
      </c>
      <c r="L752" t="s">
        <v>46</v>
      </c>
    </row>
    <row r="753" spans="1:12" x14ac:dyDescent="0.25">
      <c r="A753">
        <v>1751</v>
      </c>
      <c r="B753" t="s">
        <v>331</v>
      </c>
      <c r="C753" t="s">
        <v>37</v>
      </c>
      <c r="D753" t="s">
        <v>162</v>
      </c>
      <c r="E753" t="s">
        <v>52</v>
      </c>
      <c r="F753" t="s">
        <v>53</v>
      </c>
      <c r="G753">
        <v>-1</v>
      </c>
      <c r="H753" t="s">
        <v>97</v>
      </c>
      <c r="J753" t="s">
        <v>57</v>
      </c>
      <c r="K753" t="s">
        <v>55</v>
      </c>
      <c r="L753" t="s">
        <v>21</v>
      </c>
    </row>
    <row r="754" spans="1:12" x14ac:dyDescent="0.25">
      <c r="A754">
        <v>1752</v>
      </c>
      <c r="C754" t="s">
        <v>70</v>
      </c>
      <c r="D754" t="s">
        <v>131</v>
      </c>
      <c r="E754" t="s">
        <v>92</v>
      </c>
      <c r="F754" t="s">
        <v>26</v>
      </c>
      <c r="G754">
        <v>2</v>
      </c>
      <c r="H754">
        <v>14.99</v>
      </c>
      <c r="J754" t="s">
        <v>54</v>
      </c>
      <c r="K754" t="s">
        <v>55</v>
      </c>
      <c r="L754" t="s">
        <v>46</v>
      </c>
    </row>
    <row r="755" spans="1:12" x14ac:dyDescent="0.25">
      <c r="B755" t="s">
        <v>559</v>
      </c>
      <c r="C755" t="s">
        <v>23</v>
      </c>
      <c r="D755" t="s">
        <v>81</v>
      </c>
      <c r="E755" t="s">
        <v>39</v>
      </c>
      <c r="F755" t="s">
        <v>17</v>
      </c>
      <c r="H755">
        <v>39.99</v>
      </c>
      <c r="J755" t="s">
        <v>33</v>
      </c>
      <c r="K755" t="s">
        <v>50</v>
      </c>
      <c r="L755" t="s">
        <v>29</v>
      </c>
    </row>
    <row r="756" spans="1:12" x14ac:dyDescent="0.25">
      <c r="A756">
        <v>1754</v>
      </c>
      <c r="C756" t="s">
        <v>77</v>
      </c>
      <c r="D756" t="s">
        <v>120</v>
      </c>
      <c r="E756" t="s">
        <v>44</v>
      </c>
      <c r="F756" t="s">
        <v>17</v>
      </c>
      <c r="H756">
        <v>15.99</v>
      </c>
      <c r="J756" t="s">
        <v>33</v>
      </c>
      <c r="K756" t="s">
        <v>55</v>
      </c>
      <c r="L756" t="s">
        <v>35</v>
      </c>
    </row>
    <row r="757" spans="1:12" x14ac:dyDescent="0.25">
      <c r="A757">
        <v>1755</v>
      </c>
      <c r="C757" t="s">
        <v>23</v>
      </c>
      <c r="D757" t="s">
        <v>24</v>
      </c>
      <c r="E757" t="s">
        <v>52</v>
      </c>
      <c r="F757" t="s">
        <v>53</v>
      </c>
      <c r="H757">
        <v>59.99</v>
      </c>
      <c r="J757" t="s">
        <v>62</v>
      </c>
      <c r="K757" t="s">
        <v>50</v>
      </c>
      <c r="L757" t="s">
        <v>40</v>
      </c>
    </row>
    <row r="758" spans="1:12" x14ac:dyDescent="0.25">
      <c r="A758">
        <v>1756</v>
      </c>
      <c r="B758" t="s">
        <v>560</v>
      </c>
      <c r="C758" t="s">
        <v>42</v>
      </c>
      <c r="D758" t="s">
        <v>116</v>
      </c>
      <c r="E758" t="s">
        <v>92</v>
      </c>
      <c r="F758" t="s">
        <v>26</v>
      </c>
      <c r="G758">
        <v>2</v>
      </c>
      <c r="H758" t="s">
        <v>56</v>
      </c>
      <c r="J758" t="s">
        <v>33</v>
      </c>
      <c r="K758" t="s">
        <v>129</v>
      </c>
      <c r="L758" t="s">
        <v>40</v>
      </c>
    </row>
    <row r="759" spans="1:12" x14ac:dyDescent="0.25">
      <c r="A759">
        <v>1757</v>
      </c>
      <c r="B759" t="s">
        <v>561</v>
      </c>
      <c r="C759" t="s">
        <v>65</v>
      </c>
      <c r="D759" t="s">
        <v>126</v>
      </c>
      <c r="E759" t="s">
        <v>212</v>
      </c>
      <c r="F759" t="s">
        <v>53</v>
      </c>
      <c r="G759">
        <v>4</v>
      </c>
      <c r="H759">
        <v>59.99</v>
      </c>
      <c r="J759" t="s">
        <v>54</v>
      </c>
      <c r="K759" t="s">
        <v>45</v>
      </c>
      <c r="L759" t="s">
        <v>35</v>
      </c>
    </row>
    <row r="760" spans="1:12" x14ac:dyDescent="0.25">
      <c r="A760">
        <v>1758</v>
      </c>
      <c r="B760" t="s">
        <v>562</v>
      </c>
      <c r="C760" t="s">
        <v>70</v>
      </c>
      <c r="D760" t="s">
        <v>71</v>
      </c>
      <c r="E760" t="s">
        <v>95</v>
      </c>
      <c r="F760" t="s">
        <v>73</v>
      </c>
      <c r="G760">
        <v>4</v>
      </c>
      <c r="H760" t="s">
        <v>137</v>
      </c>
      <c r="J760" t="s">
        <v>57</v>
      </c>
      <c r="K760" t="s">
        <v>129</v>
      </c>
      <c r="L760" t="s">
        <v>21</v>
      </c>
    </row>
    <row r="761" spans="1:12" x14ac:dyDescent="0.25">
      <c r="A761">
        <v>1759</v>
      </c>
      <c r="C761" t="s">
        <v>70</v>
      </c>
      <c r="D761" t="s">
        <v>71</v>
      </c>
      <c r="E761" t="s">
        <v>49</v>
      </c>
      <c r="F761" t="s">
        <v>26</v>
      </c>
      <c r="G761">
        <v>2</v>
      </c>
      <c r="H761">
        <v>14.99</v>
      </c>
      <c r="J761" t="s">
        <v>19</v>
      </c>
      <c r="K761" t="s">
        <v>28</v>
      </c>
      <c r="L761" t="s">
        <v>46</v>
      </c>
    </row>
    <row r="762" spans="1:12" x14ac:dyDescent="0.25">
      <c r="A762">
        <v>1760</v>
      </c>
      <c r="B762" t="s">
        <v>563</v>
      </c>
      <c r="C762" t="s">
        <v>77</v>
      </c>
      <c r="D762" t="s">
        <v>91</v>
      </c>
      <c r="E762" t="s">
        <v>39</v>
      </c>
      <c r="F762" t="s">
        <v>17</v>
      </c>
      <c r="H762">
        <v>39.99</v>
      </c>
      <c r="J762" t="s">
        <v>57</v>
      </c>
      <c r="K762" t="s">
        <v>28</v>
      </c>
      <c r="L762" t="s">
        <v>46</v>
      </c>
    </row>
    <row r="763" spans="1:12" x14ac:dyDescent="0.25">
      <c r="A763">
        <v>1761</v>
      </c>
      <c r="C763" t="s">
        <v>23</v>
      </c>
      <c r="D763" t="s">
        <v>124</v>
      </c>
      <c r="E763" t="s">
        <v>49</v>
      </c>
      <c r="F763" t="s">
        <v>26</v>
      </c>
      <c r="G763">
        <v>2</v>
      </c>
      <c r="H763">
        <v>14.99</v>
      </c>
      <c r="J763" t="s">
        <v>57</v>
      </c>
      <c r="K763" t="s">
        <v>129</v>
      </c>
      <c r="L763" t="s">
        <v>21</v>
      </c>
    </row>
    <row r="764" spans="1:12" x14ac:dyDescent="0.25">
      <c r="A764">
        <v>1762</v>
      </c>
      <c r="B764" t="s">
        <v>564</v>
      </c>
      <c r="C764" t="s">
        <v>70</v>
      </c>
      <c r="E764" t="s">
        <v>107</v>
      </c>
      <c r="F764" t="s">
        <v>73</v>
      </c>
      <c r="G764">
        <v>5</v>
      </c>
      <c r="H764">
        <v>49.99</v>
      </c>
      <c r="J764" t="s">
        <v>57</v>
      </c>
      <c r="K764" t="s">
        <v>55</v>
      </c>
      <c r="L764" t="s">
        <v>21</v>
      </c>
    </row>
    <row r="765" spans="1:12" x14ac:dyDescent="0.25">
      <c r="A765">
        <v>1763</v>
      </c>
      <c r="C765" t="s">
        <v>14</v>
      </c>
      <c r="D765" t="s">
        <v>15</v>
      </c>
      <c r="E765" t="s">
        <v>31</v>
      </c>
      <c r="F765" t="s">
        <v>32</v>
      </c>
      <c r="G765">
        <v>-1</v>
      </c>
      <c r="H765" t="s">
        <v>125</v>
      </c>
      <c r="J765" t="s">
        <v>27</v>
      </c>
      <c r="K765" t="s">
        <v>129</v>
      </c>
      <c r="L765" t="s">
        <v>35</v>
      </c>
    </row>
    <row r="766" spans="1:12" x14ac:dyDescent="0.25">
      <c r="A766">
        <v>1764</v>
      </c>
      <c r="C766" t="s">
        <v>65</v>
      </c>
      <c r="D766" t="s">
        <v>123</v>
      </c>
      <c r="E766" t="s">
        <v>92</v>
      </c>
      <c r="F766" t="s">
        <v>26</v>
      </c>
      <c r="G766">
        <v>2</v>
      </c>
      <c r="H766" t="s">
        <v>56</v>
      </c>
      <c r="J766" t="s">
        <v>57</v>
      </c>
      <c r="K766" t="s">
        <v>55</v>
      </c>
      <c r="L766" t="s">
        <v>29</v>
      </c>
    </row>
    <row r="767" spans="1:12" x14ac:dyDescent="0.25">
      <c r="A767">
        <v>1765</v>
      </c>
      <c r="C767" t="s">
        <v>42</v>
      </c>
      <c r="D767" t="s">
        <v>48</v>
      </c>
      <c r="E767" t="s">
        <v>72</v>
      </c>
      <c r="F767" t="s">
        <v>73</v>
      </c>
      <c r="G767">
        <v>-1</v>
      </c>
      <c r="H767">
        <v>49.99</v>
      </c>
      <c r="J767" t="s">
        <v>33</v>
      </c>
      <c r="K767" t="s">
        <v>50</v>
      </c>
      <c r="L767" t="s">
        <v>21</v>
      </c>
    </row>
    <row r="768" spans="1:12" x14ac:dyDescent="0.25">
      <c r="B768" t="s">
        <v>247</v>
      </c>
      <c r="C768" t="s">
        <v>23</v>
      </c>
      <c r="D768" t="s">
        <v>81</v>
      </c>
      <c r="E768" t="s">
        <v>72</v>
      </c>
      <c r="F768" t="s">
        <v>73</v>
      </c>
      <c r="G768">
        <v>1</v>
      </c>
      <c r="H768" t="s">
        <v>108</v>
      </c>
      <c r="J768" t="s">
        <v>27</v>
      </c>
      <c r="K768" t="s">
        <v>34</v>
      </c>
      <c r="L768" t="s">
        <v>40</v>
      </c>
    </row>
    <row r="769" spans="1:12" x14ac:dyDescent="0.25">
      <c r="A769">
        <v>1767</v>
      </c>
      <c r="B769" t="s">
        <v>565</v>
      </c>
      <c r="D769" t="s">
        <v>71</v>
      </c>
      <c r="E769" t="s">
        <v>72</v>
      </c>
      <c r="F769" t="s">
        <v>73</v>
      </c>
      <c r="G769">
        <v>-1</v>
      </c>
      <c r="H769">
        <v>49.99</v>
      </c>
      <c r="J769" t="s">
        <v>54</v>
      </c>
      <c r="K769" t="s">
        <v>50</v>
      </c>
      <c r="L769" t="s">
        <v>46</v>
      </c>
    </row>
    <row r="770" spans="1:12" x14ac:dyDescent="0.25">
      <c r="A770">
        <v>1768</v>
      </c>
      <c r="B770" t="s">
        <v>339</v>
      </c>
      <c r="C770" t="s">
        <v>77</v>
      </c>
      <c r="D770" t="s">
        <v>78</v>
      </c>
      <c r="E770" t="s">
        <v>44</v>
      </c>
      <c r="F770" t="s">
        <v>17</v>
      </c>
      <c r="G770">
        <v>2</v>
      </c>
      <c r="H770">
        <v>15.99</v>
      </c>
      <c r="J770" t="s">
        <v>19</v>
      </c>
      <c r="K770" t="s">
        <v>28</v>
      </c>
      <c r="L770" t="s">
        <v>21</v>
      </c>
    </row>
    <row r="771" spans="1:12" x14ac:dyDescent="0.25">
      <c r="A771">
        <v>1769</v>
      </c>
      <c r="C771" t="s">
        <v>70</v>
      </c>
      <c r="D771" t="s">
        <v>71</v>
      </c>
      <c r="E771" t="s">
        <v>72</v>
      </c>
      <c r="F771" t="s">
        <v>73</v>
      </c>
      <c r="H771">
        <v>49.99</v>
      </c>
      <c r="J771" t="s">
        <v>27</v>
      </c>
      <c r="K771" t="s">
        <v>129</v>
      </c>
      <c r="L771" t="s">
        <v>21</v>
      </c>
    </row>
    <row r="772" spans="1:12" x14ac:dyDescent="0.25">
      <c r="A772">
        <v>1770</v>
      </c>
      <c r="B772" t="s">
        <v>566</v>
      </c>
      <c r="C772" t="s">
        <v>70</v>
      </c>
      <c r="D772" t="s">
        <v>71</v>
      </c>
      <c r="E772" t="s">
        <v>85</v>
      </c>
      <c r="F772" t="s">
        <v>26</v>
      </c>
      <c r="G772">
        <v>2</v>
      </c>
      <c r="H772">
        <v>99.99</v>
      </c>
      <c r="J772" t="s">
        <v>57</v>
      </c>
      <c r="K772" t="s">
        <v>34</v>
      </c>
      <c r="L772" t="s">
        <v>46</v>
      </c>
    </row>
    <row r="773" spans="1:12" x14ac:dyDescent="0.25">
      <c r="A773">
        <v>1771</v>
      </c>
      <c r="B773" t="s">
        <v>567</v>
      </c>
      <c r="C773" t="s">
        <v>14</v>
      </c>
      <c r="D773" t="s">
        <v>15</v>
      </c>
      <c r="E773" t="s">
        <v>95</v>
      </c>
      <c r="F773" t="s">
        <v>73</v>
      </c>
      <c r="G773">
        <v>3</v>
      </c>
      <c r="H773">
        <v>29.99</v>
      </c>
      <c r="J773" t="s">
        <v>19</v>
      </c>
      <c r="K773" t="s">
        <v>45</v>
      </c>
      <c r="L773" t="s">
        <v>40</v>
      </c>
    </row>
    <row r="774" spans="1:12" x14ac:dyDescent="0.25">
      <c r="A774">
        <v>1772</v>
      </c>
      <c r="B774" t="s">
        <v>568</v>
      </c>
      <c r="C774" t="s">
        <v>70</v>
      </c>
      <c r="D774" t="s">
        <v>88</v>
      </c>
      <c r="E774" t="s">
        <v>72</v>
      </c>
      <c r="F774" t="s">
        <v>73</v>
      </c>
      <c r="G774">
        <v>4</v>
      </c>
      <c r="H774" t="s">
        <v>108</v>
      </c>
      <c r="J774" t="s">
        <v>19</v>
      </c>
      <c r="K774" t="s">
        <v>20</v>
      </c>
      <c r="L774" t="s">
        <v>21</v>
      </c>
    </row>
    <row r="775" spans="1:12" x14ac:dyDescent="0.25">
      <c r="A775">
        <v>1773</v>
      </c>
      <c r="B775" t="s">
        <v>539</v>
      </c>
      <c r="D775" t="s">
        <v>88</v>
      </c>
      <c r="E775" t="s">
        <v>52</v>
      </c>
      <c r="F775" t="s">
        <v>53</v>
      </c>
      <c r="G775">
        <v>1</v>
      </c>
      <c r="H775" t="s">
        <v>97</v>
      </c>
      <c r="J775" t="s">
        <v>27</v>
      </c>
      <c r="K775" t="s">
        <v>28</v>
      </c>
      <c r="L775" t="s">
        <v>40</v>
      </c>
    </row>
    <row r="776" spans="1:12" x14ac:dyDescent="0.25">
      <c r="A776">
        <v>1774</v>
      </c>
      <c r="C776" t="s">
        <v>70</v>
      </c>
      <c r="D776" t="s">
        <v>131</v>
      </c>
      <c r="E776" t="s">
        <v>31</v>
      </c>
      <c r="F776" t="s">
        <v>32</v>
      </c>
      <c r="G776">
        <v>-1</v>
      </c>
      <c r="H776">
        <v>79.989999999999995</v>
      </c>
      <c r="J776" t="s">
        <v>57</v>
      </c>
      <c r="K776" t="s">
        <v>50</v>
      </c>
      <c r="L776" t="s">
        <v>35</v>
      </c>
    </row>
    <row r="777" spans="1:12" x14ac:dyDescent="0.25">
      <c r="A777">
        <v>1775</v>
      </c>
      <c r="B777" t="s">
        <v>569</v>
      </c>
      <c r="C777" t="s">
        <v>14</v>
      </c>
      <c r="D777" t="s">
        <v>75</v>
      </c>
      <c r="E777" t="s">
        <v>127</v>
      </c>
      <c r="F777" t="s">
        <v>73</v>
      </c>
      <c r="G777">
        <v>2</v>
      </c>
      <c r="H777" t="s">
        <v>137</v>
      </c>
      <c r="J777" t="s">
        <v>57</v>
      </c>
      <c r="K777" t="s">
        <v>55</v>
      </c>
      <c r="L777" t="s">
        <v>29</v>
      </c>
    </row>
    <row r="778" spans="1:12" x14ac:dyDescent="0.25">
      <c r="A778">
        <v>1776</v>
      </c>
      <c r="B778" t="s">
        <v>570</v>
      </c>
      <c r="C778" t="s">
        <v>77</v>
      </c>
      <c r="E778" t="s">
        <v>31</v>
      </c>
      <c r="F778" t="s">
        <v>32</v>
      </c>
      <c r="G778">
        <v>4</v>
      </c>
      <c r="H778">
        <v>79.989999999999995</v>
      </c>
      <c r="J778" t="s">
        <v>19</v>
      </c>
      <c r="K778" t="s">
        <v>28</v>
      </c>
      <c r="L778" t="s">
        <v>46</v>
      </c>
    </row>
    <row r="779" spans="1:12" x14ac:dyDescent="0.25">
      <c r="A779">
        <v>1777</v>
      </c>
      <c r="B779" t="s">
        <v>571</v>
      </c>
      <c r="C779" t="s">
        <v>14</v>
      </c>
      <c r="D779" t="s">
        <v>84</v>
      </c>
      <c r="E779" t="s">
        <v>127</v>
      </c>
      <c r="F779" t="s">
        <v>73</v>
      </c>
      <c r="G779">
        <v>4</v>
      </c>
      <c r="H779" t="s">
        <v>137</v>
      </c>
      <c r="J779" t="s">
        <v>62</v>
      </c>
      <c r="K779" t="s">
        <v>68</v>
      </c>
      <c r="L779" t="s">
        <v>46</v>
      </c>
    </row>
    <row r="780" spans="1:12" x14ac:dyDescent="0.25">
      <c r="A780">
        <v>1778</v>
      </c>
      <c r="B780" t="s">
        <v>159</v>
      </c>
      <c r="C780" t="s">
        <v>23</v>
      </c>
      <c r="D780" t="s">
        <v>124</v>
      </c>
      <c r="E780" t="s">
        <v>44</v>
      </c>
      <c r="F780" t="s">
        <v>17</v>
      </c>
      <c r="G780">
        <v>-1</v>
      </c>
      <c r="H780" t="s">
        <v>18</v>
      </c>
      <c r="J780" t="s">
        <v>57</v>
      </c>
      <c r="K780" t="s">
        <v>68</v>
      </c>
      <c r="L780" t="s">
        <v>29</v>
      </c>
    </row>
    <row r="781" spans="1:12" x14ac:dyDescent="0.25">
      <c r="A781">
        <v>1779</v>
      </c>
      <c r="C781" t="s">
        <v>42</v>
      </c>
      <c r="D781" t="s">
        <v>106</v>
      </c>
      <c r="E781" t="s">
        <v>82</v>
      </c>
      <c r="F781" t="s">
        <v>60</v>
      </c>
      <c r="H781" t="s">
        <v>61</v>
      </c>
      <c r="J781" t="s">
        <v>27</v>
      </c>
      <c r="K781" t="s">
        <v>34</v>
      </c>
      <c r="L781" t="s">
        <v>46</v>
      </c>
    </row>
    <row r="782" spans="1:12" x14ac:dyDescent="0.25">
      <c r="A782">
        <v>1780</v>
      </c>
      <c r="C782" t="s">
        <v>42</v>
      </c>
      <c r="D782" t="s">
        <v>43</v>
      </c>
      <c r="E782" t="s">
        <v>92</v>
      </c>
      <c r="F782" t="s">
        <v>26</v>
      </c>
      <c r="G782">
        <v>4</v>
      </c>
      <c r="H782">
        <v>14.99</v>
      </c>
      <c r="J782" t="s">
        <v>33</v>
      </c>
      <c r="K782" t="s">
        <v>34</v>
      </c>
      <c r="L782" t="s">
        <v>21</v>
      </c>
    </row>
    <row r="783" spans="1:12" x14ac:dyDescent="0.25">
      <c r="A783">
        <v>1781</v>
      </c>
      <c r="B783" t="s">
        <v>236</v>
      </c>
      <c r="C783" t="s">
        <v>65</v>
      </c>
      <c r="D783" t="s">
        <v>126</v>
      </c>
      <c r="E783" t="s">
        <v>89</v>
      </c>
      <c r="F783" t="s">
        <v>17</v>
      </c>
      <c r="G783">
        <v>3</v>
      </c>
      <c r="H783">
        <v>39.99</v>
      </c>
      <c r="J783" t="s">
        <v>33</v>
      </c>
      <c r="K783" t="s">
        <v>34</v>
      </c>
      <c r="L783" t="s">
        <v>21</v>
      </c>
    </row>
    <row r="784" spans="1:12" x14ac:dyDescent="0.25">
      <c r="A784">
        <v>1782</v>
      </c>
      <c r="C784" t="s">
        <v>70</v>
      </c>
      <c r="D784" t="s">
        <v>131</v>
      </c>
      <c r="E784" t="s">
        <v>52</v>
      </c>
      <c r="F784" t="s">
        <v>53</v>
      </c>
      <c r="H784">
        <v>59.99</v>
      </c>
      <c r="J784" t="s">
        <v>19</v>
      </c>
      <c r="K784" t="s">
        <v>55</v>
      </c>
      <c r="L784" t="s">
        <v>46</v>
      </c>
    </row>
    <row r="785" spans="1:13" x14ac:dyDescent="0.25">
      <c r="A785">
        <v>1783</v>
      </c>
      <c r="B785" t="s">
        <v>541</v>
      </c>
      <c r="C785" t="s">
        <v>37</v>
      </c>
      <c r="D785" t="s">
        <v>169</v>
      </c>
      <c r="E785" t="s">
        <v>85</v>
      </c>
      <c r="F785" t="s">
        <v>26</v>
      </c>
      <c r="H785">
        <v>99.99</v>
      </c>
      <c r="J785" t="s">
        <v>54</v>
      </c>
      <c r="K785" t="s">
        <v>45</v>
      </c>
      <c r="L785" t="s">
        <v>46</v>
      </c>
    </row>
    <row r="786" spans="1:13" x14ac:dyDescent="0.25">
      <c r="A786">
        <v>1784</v>
      </c>
      <c r="B786" t="s">
        <v>572</v>
      </c>
      <c r="C786" t="s">
        <v>23</v>
      </c>
      <c r="D786" t="s">
        <v>24</v>
      </c>
      <c r="E786" t="s">
        <v>31</v>
      </c>
      <c r="F786" t="s">
        <v>32</v>
      </c>
      <c r="G786">
        <v>2</v>
      </c>
      <c r="H786">
        <v>79.989999999999995</v>
      </c>
      <c r="J786" t="s">
        <v>33</v>
      </c>
      <c r="K786" t="s">
        <v>45</v>
      </c>
      <c r="L786" t="s">
        <v>35</v>
      </c>
      <c r="M786" t="s">
        <v>63</v>
      </c>
    </row>
    <row r="787" spans="1:13" x14ac:dyDescent="0.25">
      <c r="A787">
        <v>1785</v>
      </c>
      <c r="B787" t="s">
        <v>573</v>
      </c>
      <c r="D787" t="s">
        <v>84</v>
      </c>
      <c r="E787" t="s">
        <v>89</v>
      </c>
      <c r="F787" t="s">
        <v>17</v>
      </c>
      <c r="H787">
        <v>39.99</v>
      </c>
      <c r="J787" t="s">
        <v>19</v>
      </c>
      <c r="K787" t="s">
        <v>34</v>
      </c>
      <c r="L787" t="s">
        <v>35</v>
      </c>
    </row>
    <row r="788" spans="1:13" x14ac:dyDescent="0.25">
      <c r="A788">
        <v>1786</v>
      </c>
      <c r="C788" t="s">
        <v>37</v>
      </c>
      <c r="E788" t="s">
        <v>72</v>
      </c>
      <c r="F788" t="s">
        <v>73</v>
      </c>
      <c r="G788">
        <v>5</v>
      </c>
      <c r="H788">
        <v>49.99</v>
      </c>
      <c r="J788" t="s">
        <v>27</v>
      </c>
      <c r="K788" t="s">
        <v>129</v>
      </c>
      <c r="L788" t="s">
        <v>21</v>
      </c>
    </row>
    <row r="789" spans="1:13" x14ac:dyDescent="0.25">
      <c r="A789">
        <v>1787</v>
      </c>
      <c r="B789" t="s">
        <v>161</v>
      </c>
      <c r="C789" t="s">
        <v>77</v>
      </c>
      <c r="D789" t="s">
        <v>78</v>
      </c>
      <c r="E789" t="s">
        <v>82</v>
      </c>
      <c r="F789" t="s">
        <v>60</v>
      </c>
      <c r="G789">
        <v>5</v>
      </c>
      <c r="H789" t="s">
        <v>61</v>
      </c>
      <c r="J789" t="s">
        <v>27</v>
      </c>
      <c r="K789" t="s">
        <v>20</v>
      </c>
      <c r="L789" t="s">
        <v>21</v>
      </c>
    </row>
    <row r="790" spans="1:13" x14ac:dyDescent="0.25">
      <c r="A790">
        <v>1788</v>
      </c>
      <c r="B790" t="s">
        <v>574</v>
      </c>
      <c r="C790" t="s">
        <v>42</v>
      </c>
      <c r="E790" t="s">
        <v>31</v>
      </c>
      <c r="F790" t="s">
        <v>32</v>
      </c>
      <c r="G790">
        <v>1</v>
      </c>
      <c r="H790">
        <v>79.989999999999995</v>
      </c>
      <c r="J790" t="s">
        <v>19</v>
      </c>
      <c r="K790" t="s">
        <v>50</v>
      </c>
      <c r="L790" t="s">
        <v>46</v>
      </c>
    </row>
    <row r="791" spans="1:13" x14ac:dyDescent="0.25">
      <c r="A791">
        <v>1789</v>
      </c>
      <c r="B791" t="s">
        <v>537</v>
      </c>
      <c r="C791" t="s">
        <v>65</v>
      </c>
      <c r="D791" t="s">
        <v>126</v>
      </c>
      <c r="E791" t="s">
        <v>44</v>
      </c>
      <c r="F791" t="s">
        <v>17</v>
      </c>
      <c r="G791">
        <v>3</v>
      </c>
      <c r="H791">
        <v>15.99</v>
      </c>
      <c r="J791" t="s">
        <v>19</v>
      </c>
      <c r="K791" t="s">
        <v>129</v>
      </c>
      <c r="L791" t="s">
        <v>35</v>
      </c>
    </row>
    <row r="792" spans="1:13" x14ac:dyDescent="0.25">
      <c r="A792">
        <v>1790</v>
      </c>
      <c r="B792" t="s">
        <v>575</v>
      </c>
      <c r="D792" t="s">
        <v>114</v>
      </c>
      <c r="E792" t="s">
        <v>31</v>
      </c>
      <c r="F792" t="s">
        <v>32</v>
      </c>
      <c r="G792">
        <v>2</v>
      </c>
      <c r="H792">
        <v>79.989999999999995</v>
      </c>
      <c r="J792" t="s">
        <v>57</v>
      </c>
      <c r="K792" t="s">
        <v>34</v>
      </c>
      <c r="L792" t="s">
        <v>40</v>
      </c>
      <c r="M792" t="s">
        <v>63</v>
      </c>
    </row>
    <row r="793" spans="1:13" x14ac:dyDescent="0.25">
      <c r="A793">
        <v>1791</v>
      </c>
      <c r="C793" t="s">
        <v>23</v>
      </c>
      <c r="D793" t="s">
        <v>81</v>
      </c>
      <c r="E793" t="s">
        <v>49</v>
      </c>
      <c r="F793" t="s">
        <v>26</v>
      </c>
      <c r="G793">
        <v>-1</v>
      </c>
      <c r="H793">
        <v>14.99</v>
      </c>
      <c r="J793" t="s">
        <v>54</v>
      </c>
      <c r="K793" t="s">
        <v>28</v>
      </c>
      <c r="L793" t="s">
        <v>40</v>
      </c>
    </row>
    <row r="794" spans="1:13" x14ac:dyDescent="0.25">
      <c r="A794">
        <v>1792</v>
      </c>
      <c r="C794" t="s">
        <v>65</v>
      </c>
      <c r="D794" t="s">
        <v>123</v>
      </c>
      <c r="E794" t="s">
        <v>49</v>
      </c>
      <c r="F794" t="s">
        <v>26</v>
      </c>
      <c r="G794">
        <v>3</v>
      </c>
      <c r="H794" t="s">
        <v>56</v>
      </c>
      <c r="J794" t="s">
        <v>54</v>
      </c>
      <c r="K794" t="s">
        <v>28</v>
      </c>
      <c r="L794" t="s">
        <v>21</v>
      </c>
    </row>
    <row r="795" spans="1:13" x14ac:dyDescent="0.25">
      <c r="A795">
        <v>1793</v>
      </c>
      <c r="C795" t="s">
        <v>42</v>
      </c>
      <c r="D795" t="s">
        <v>48</v>
      </c>
      <c r="E795" t="s">
        <v>39</v>
      </c>
      <c r="F795" t="s">
        <v>17</v>
      </c>
      <c r="G795">
        <v>5</v>
      </c>
      <c r="H795" t="s">
        <v>117</v>
      </c>
      <c r="J795" t="s">
        <v>27</v>
      </c>
      <c r="K795" t="s">
        <v>50</v>
      </c>
      <c r="L795" t="s">
        <v>29</v>
      </c>
    </row>
    <row r="796" spans="1:13" x14ac:dyDescent="0.25">
      <c r="A796">
        <v>1794</v>
      </c>
      <c r="C796" t="s">
        <v>65</v>
      </c>
      <c r="D796" t="s">
        <v>123</v>
      </c>
      <c r="E796" t="s">
        <v>52</v>
      </c>
      <c r="F796" t="s">
        <v>53</v>
      </c>
      <c r="G796">
        <v>4</v>
      </c>
      <c r="H796">
        <v>59.99</v>
      </c>
      <c r="J796" t="s">
        <v>27</v>
      </c>
      <c r="K796" t="s">
        <v>50</v>
      </c>
      <c r="L796" t="s">
        <v>40</v>
      </c>
    </row>
    <row r="797" spans="1:13" x14ac:dyDescent="0.25">
      <c r="A797">
        <v>1795</v>
      </c>
      <c r="C797" t="s">
        <v>65</v>
      </c>
      <c r="D797" t="s">
        <v>123</v>
      </c>
      <c r="E797" t="s">
        <v>52</v>
      </c>
      <c r="F797" t="s">
        <v>53</v>
      </c>
      <c r="G797">
        <v>5</v>
      </c>
      <c r="H797">
        <v>59.99</v>
      </c>
      <c r="J797" t="s">
        <v>19</v>
      </c>
      <c r="K797" t="s">
        <v>50</v>
      </c>
      <c r="L797" t="s">
        <v>40</v>
      </c>
    </row>
    <row r="798" spans="1:13" x14ac:dyDescent="0.25">
      <c r="A798">
        <v>1796</v>
      </c>
      <c r="B798" t="s">
        <v>576</v>
      </c>
      <c r="C798" t="s">
        <v>65</v>
      </c>
      <c r="D798" t="s">
        <v>66</v>
      </c>
      <c r="E798" t="s">
        <v>82</v>
      </c>
      <c r="F798" t="s">
        <v>60</v>
      </c>
      <c r="H798">
        <v>4.99</v>
      </c>
      <c r="J798" t="s">
        <v>27</v>
      </c>
      <c r="K798" t="s">
        <v>45</v>
      </c>
      <c r="L798" t="s">
        <v>21</v>
      </c>
    </row>
    <row r="799" spans="1:13" x14ac:dyDescent="0.25">
      <c r="A799">
        <v>1797</v>
      </c>
      <c r="C799" t="s">
        <v>14</v>
      </c>
      <c r="D799" t="s">
        <v>84</v>
      </c>
      <c r="E799" t="s">
        <v>107</v>
      </c>
      <c r="F799" t="s">
        <v>73</v>
      </c>
      <c r="G799">
        <v>5</v>
      </c>
      <c r="H799" t="s">
        <v>108</v>
      </c>
      <c r="J799" t="s">
        <v>57</v>
      </c>
      <c r="K799" t="s">
        <v>129</v>
      </c>
      <c r="L799" t="s">
        <v>21</v>
      </c>
    </row>
    <row r="800" spans="1:13" x14ac:dyDescent="0.25">
      <c r="A800">
        <v>1798</v>
      </c>
      <c r="B800" t="s">
        <v>577</v>
      </c>
      <c r="C800" t="s">
        <v>65</v>
      </c>
      <c r="D800" t="s">
        <v>123</v>
      </c>
      <c r="E800" t="s">
        <v>92</v>
      </c>
      <c r="F800" t="s">
        <v>26</v>
      </c>
      <c r="H800" t="s">
        <v>56</v>
      </c>
      <c r="J800" t="s">
        <v>19</v>
      </c>
      <c r="K800" t="s">
        <v>45</v>
      </c>
      <c r="L800" t="s">
        <v>21</v>
      </c>
    </row>
    <row r="801" spans="1:13" x14ac:dyDescent="0.25">
      <c r="A801">
        <v>1799</v>
      </c>
      <c r="B801" t="s">
        <v>578</v>
      </c>
      <c r="C801" t="s">
        <v>37</v>
      </c>
      <c r="D801" t="s">
        <v>162</v>
      </c>
      <c r="E801" t="s">
        <v>52</v>
      </c>
      <c r="F801" t="s">
        <v>53</v>
      </c>
      <c r="G801">
        <v>3</v>
      </c>
      <c r="H801" t="s">
        <v>97</v>
      </c>
      <c r="J801" t="s">
        <v>57</v>
      </c>
      <c r="K801" t="s">
        <v>50</v>
      </c>
      <c r="L801" t="s">
        <v>29</v>
      </c>
    </row>
    <row r="802" spans="1:13" x14ac:dyDescent="0.25">
      <c r="A802">
        <v>1800</v>
      </c>
      <c r="B802" t="s">
        <v>579</v>
      </c>
      <c r="C802" t="s">
        <v>37</v>
      </c>
      <c r="D802" t="s">
        <v>169</v>
      </c>
      <c r="E802" t="s">
        <v>85</v>
      </c>
      <c r="F802" t="s">
        <v>26</v>
      </c>
      <c r="G802">
        <v>2</v>
      </c>
      <c r="H802" t="s">
        <v>86</v>
      </c>
      <c r="J802" t="s">
        <v>19</v>
      </c>
      <c r="K802" t="s">
        <v>20</v>
      </c>
      <c r="L802" t="s">
        <v>35</v>
      </c>
    </row>
    <row r="803" spans="1:13" x14ac:dyDescent="0.25">
      <c r="A803">
        <v>1801</v>
      </c>
      <c r="B803" t="s">
        <v>580</v>
      </c>
      <c r="C803" t="s">
        <v>14</v>
      </c>
      <c r="D803" t="s">
        <v>75</v>
      </c>
      <c r="E803" t="s">
        <v>82</v>
      </c>
      <c r="F803" t="s">
        <v>60</v>
      </c>
      <c r="G803">
        <v>3</v>
      </c>
      <c r="H803" t="s">
        <v>61</v>
      </c>
      <c r="J803" t="s">
        <v>33</v>
      </c>
      <c r="K803" t="s">
        <v>34</v>
      </c>
      <c r="L803" t="s">
        <v>21</v>
      </c>
    </row>
    <row r="804" spans="1:13" x14ac:dyDescent="0.25">
      <c r="A804">
        <v>1802</v>
      </c>
      <c r="B804" t="s">
        <v>122</v>
      </c>
      <c r="C804" t="s">
        <v>42</v>
      </c>
      <c r="D804" t="s">
        <v>43</v>
      </c>
      <c r="E804" t="s">
        <v>39</v>
      </c>
      <c r="F804" t="s">
        <v>17</v>
      </c>
      <c r="G804">
        <v>2</v>
      </c>
      <c r="H804" t="s">
        <v>117</v>
      </c>
      <c r="J804" t="s">
        <v>27</v>
      </c>
      <c r="K804" t="s">
        <v>20</v>
      </c>
      <c r="L804" t="s">
        <v>21</v>
      </c>
    </row>
    <row r="805" spans="1:13" x14ac:dyDescent="0.25">
      <c r="A805">
        <v>1803</v>
      </c>
      <c r="B805" t="s">
        <v>581</v>
      </c>
      <c r="C805" t="s">
        <v>65</v>
      </c>
      <c r="D805" t="s">
        <v>123</v>
      </c>
      <c r="E805" t="s">
        <v>39</v>
      </c>
      <c r="F805" t="s">
        <v>17</v>
      </c>
      <c r="G805">
        <v>5</v>
      </c>
      <c r="H805">
        <v>39.99</v>
      </c>
      <c r="J805" t="s">
        <v>27</v>
      </c>
      <c r="K805" t="s">
        <v>34</v>
      </c>
      <c r="L805" t="s">
        <v>29</v>
      </c>
    </row>
    <row r="806" spans="1:13" x14ac:dyDescent="0.25">
      <c r="A806">
        <v>1804</v>
      </c>
      <c r="B806" t="s">
        <v>582</v>
      </c>
      <c r="C806" t="s">
        <v>37</v>
      </c>
      <c r="D806" t="s">
        <v>38</v>
      </c>
      <c r="E806" t="s">
        <v>85</v>
      </c>
      <c r="F806" t="s">
        <v>26</v>
      </c>
      <c r="H806">
        <v>99.99</v>
      </c>
      <c r="J806" t="s">
        <v>57</v>
      </c>
      <c r="K806" t="s">
        <v>20</v>
      </c>
      <c r="L806" t="s">
        <v>46</v>
      </c>
    </row>
    <row r="807" spans="1:13" x14ac:dyDescent="0.25">
      <c r="A807">
        <v>1805</v>
      </c>
      <c r="B807" t="s">
        <v>583</v>
      </c>
      <c r="C807" t="s">
        <v>37</v>
      </c>
      <c r="D807" t="s">
        <v>38</v>
      </c>
      <c r="E807" t="s">
        <v>127</v>
      </c>
      <c r="F807" t="s">
        <v>73</v>
      </c>
      <c r="G807">
        <v>1</v>
      </c>
      <c r="H807">
        <v>29.99</v>
      </c>
      <c r="J807" t="s">
        <v>33</v>
      </c>
      <c r="K807" t="s">
        <v>34</v>
      </c>
      <c r="L807" t="s">
        <v>29</v>
      </c>
    </row>
    <row r="808" spans="1:13" x14ac:dyDescent="0.25">
      <c r="A808">
        <v>1806</v>
      </c>
      <c r="C808" t="s">
        <v>14</v>
      </c>
      <c r="E808" t="s">
        <v>82</v>
      </c>
      <c r="F808" t="s">
        <v>60</v>
      </c>
      <c r="G808">
        <v>-1</v>
      </c>
      <c r="H808" t="s">
        <v>61</v>
      </c>
      <c r="J808" t="s">
        <v>33</v>
      </c>
      <c r="K808" t="s">
        <v>55</v>
      </c>
      <c r="L808" t="s">
        <v>35</v>
      </c>
    </row>
    <row r="809" spans="1:13" x14ac:dyDescent="0.25">
      <c r="A809">
        <v>1807</v>
      </c>
      <c r="B809" t="s">
        <v>576</v>
      </c>
      <c r="C809" t="s">
        <v>14</v>
      </c>
      <c r="D809" t="s">
        <v>75</v>
      </c>
      <c r="E809" t="s">
        <v>59</v>
      </c>
      <c r="F809" t="s">
        <v>60</v>
      </c>
      <c r="G809">
        <v>2</v>
      </c>
      <c r="H809">
        <v>4.99</v>
      </c>
      <c r="J809" t="s">
        <v>33</v>
      </c>
      <c r="K809" t="s">
        <v>50</v>
      </c>
      <c r="L809" t="s">
        <v>29</v>
      </c>
    </row>
    <row r="810" spans="1:13" x14ac:dyDescent="0.25">
      <c r="A810">
        <v>1808</v>
      </c>
      <c r="B810" t="s">
        <v>584</v>
      </c>
      <c r="C810" t="s">
        <v>65</v>
      </c>
      <c r="D810" t="s">
        <v>123</v>
      </c>
      <c r="E810" t="s">
        <v>82</v>
      </c>
      <c r="F810" t="s">
        <v>60</v>
      </c>
      <c r="G810">
        <v>5</v>
      </c>
      <c r="H810" t="s">
        <v>61</v>
      </c>
      <c r="J810" t="s">
        <v>54</v>
      </c>
      <c r="K810" t="s">
        <v>45</v>
      </c>
      <c r="L810" t="s">
        <v>40</v>
      </c>
    </row>
    <row r="811" spans="1:13" x14ac:dyDescent="0.25">
      <c r="A811">
        <v>1809</v>
      </c>
      <c r="B811" t="s">
        <v>585</v>
      </c>
      <c r="C811" t="s">
        <v>42</v>
      </c>
      <c r="E811" t="s">
        <v>85</v>
      </c>
      <c r="F811" t="s">
        <v>26</v>
      </c>
      <c r="G811">
        <v>3</v>
      </c>
      <c r="H811" t="s">
        <v>86</v>
      </c>
      <c r="J811" t="s">
        <v>62</v>
      </c>
      <c r="K811" t="s">
        <v>20</v>
      </c>
      <c r="L811" t="s">
        <v>46</v>
      </c>
    </row>
    <row r="812" spans="1:13" x14ac:dyDescent="0.25">
      <c r="A812">
        <v>1810</v>
      </c>
      <c r="C812" t="s">
        <v>77</v>
      </c>
      <c r="D812" t="s">
        <v>91</v>
      </c>
      <c r="E812" t="s">
        <v>85</v>
      </c>
      <c r="F812" t="s">
        <v>26</v>
      </c>
      <c r="G812">
        <v>3</v>
      </c>
      <c r="H812">
        <v>99.99</v>
      </c>
      <c r="J812" t="s">
        <v>54</v>
      </c>
      <c r="K812" t="s">
        <v>34</v>
      </c>
      <c r="L812" t="s">
        <v>21</v>
      </c>
    </row>
    <row r="813" spans="1:13" x14ac:dyDescent="0.25">
      <c r="A813">
        <v>1811</v>
      </c>
      <c r="B813" t="s">
        <v>586</v>
      </c>
      <c r="C813" t="s">
        <v>77</v>
      </c>
      <c r="D813" t="s">
        <v>114</v>
      </c>
      <c r="E813" t="s">
        <v>127</v>
      </c>
      <c r="F813" t="s">
        <v>73</v>
      </c>
      <c r="H813">
        <v>29.99</v>
      </c>
      <c r="J813" t="s">
        <v>27</v>
      </c>
      <c r="K813" t="s">
        <v>129</v>
      </c>
      <c r="L813" t="s">
        <v>29</v>
      </c>
    </row>
    <row r="814" spans="1:13" x14ac:dyDescent="0.25">
      <c r="A814">
        <v>1812</v>
      </c>
      <c r="B814" t="s">
        <v>256</v>
      </c>
      <c r="C814" t="s">
        <v>42</v>
      </c>
      <c r="D814" t="s">
        <v>48</v>
      </c>
      <c r="E814" t="s">
        <v>25</v>
      </c>
      <c r="F814" t="s">
        <v>26</v>
      </c>
      <c r="G814">
        <v>3</v>
      </c>
      <c r="H814">
        <v>99.99</v>
      </c>
      <c r="J814" t="s">
        <v>57</v>
      </c>
      <c r="K814" t="s">
        <v>55</v>
      </c>
      <c r="L814" t="s">
        <v>35</v>
      </c>
    </row>
    <row r="815" spans="1:13" x14ac:dyDescent="0.25">
      <c r="C815" t="s">
        <v>23</v>
      </c>
      <c r="D815" t="s">
        <v>124</v>
      </c>
      <c r="E815" t="s">
        <v>127</v>
      </c>
      <c r="F815" t="s">
        <v>73</v>
      </c>
      <c r="G815">
        <v>2</v>
      </c>
      <c r="H815">
        <v>29.99</v>
      </c>
      <c r="J815" t="s">
        <v>54</v>
      </c>
      <c r="K815" t="s">
        <v>45</v>
      </c>
      <c r="L815" t="s">
        <v>40</v>
      </c>
      <c r="M815" t="s">
        <v>63</v>
      </c>
    </row>
    <row r="816" spans="1:13" x14ac:dyDescent="0.25">
      <c r="A816">
        <v>1814</v>
      </c>
      <c r="B816" t="s">
        <v>209</v>
      </c>
      <c r="C816" t="s">
        <v>77</v>
      </c>
      <c r="D816" t="s">
        <v>78</v>
      </c>
      <c r="E816" t="s">
        <v>72</v>
      </c>
      <c r="F816" t="s">
        <v>73</v>
      </c>
      <c r="G816">
        <v>3</v>
      </c>
      <c r="H816">
        <v>49.99</v>
      </c>
      <c r="J816" t="s">
        <v>33</v>
      </c>
      <c r="K816" t="s">
        <v>68</v>
      </c>
      <c r="L816" t="s">
        <v>29</v>
      </c>
    </row>
    <row r="817" spans="1:13" x14ac:dyDescent="0.25">
      <c r="A817">
        <v>1815</v>
      </c>
      <c r="B817" t="s">
        <v>587</v>
      </c>
      <c r="C817" t="s">
        <v>70</v>
      </c>
      <c r="D817" t="s">
        <v>144</v>
      </c>
      <c r="E817" t="s">
        <v>49</v>
      </c>
      <c r="F817" t="s">
        <v>26</v>
      </c>
      <c r="G817">
        <v>-1</v>
      </c>
      <c r="H817">
        <v>14.99</v>
      </c>
      <c r="J817" t="s">
        <v>33</v>
      </c>
      <c r="K817" t="s">
        <v>50</v>
      </c>
      <c r="L817" t="s">
        <v>35</v>
      </c>
      <c r="M817" t="s">
        <v>63</v>
      </c>
    </row>
    <row r="818" spans="1:13" x14ac:dyDescent="0.25">
      <c r="A818">
        <v>1816</v>
      </c>
      <c r="B818" t="s">
        <v>588</v>
      </c>
      <c r="C818" t="s">
        <v>14</v>
      </c>
      <c r="D818" t="s">
        <v>75</v>
      </c>
      <c r="E818" t="s">
        <v>39</v>
      </c>
      <c r="F818" t="s">
        <v>17</v>
      </c>
      <c r="G818">
        <v>3</v>
      </c>
      <c r="H818">
        <v>39.99</v>
      </c>
      <c r="J818" t="s">
        <v>62</v>
      </c>
      <c r="K818" t="s">
        <v>45</v>
      </c>
      <c r="L818" t="s">
        <v>46</v>
      </c>
    </row>
    <row r="819" spans="1:13" x14ac:dyDescent="0.25">
      <c r="A819">
        <v>1817</v>
      </c>
      <c r="B819" t="s">
        <v>228</v>
      </c>
      <c r="C819" t="s">
        <v>14</v>
      </c>
      <c r="D819" t="s">
        <v>75</v>
      </c>
      <c r="E819" t="s">
        <v>67</v>
      </c>
      <c r="F819" t="s">
        <v>32</v>
      </c>
      <c r="G819">
        <v>3</v>
      </c>
      <c r="H819">
        <v>79.989999999999995</v>
      </c>
      <c r="J819" t="s">
        <v>33</v>
      </c>
      <c r="K819" t="s">
        <v>68</v>
      </c>
      <c r="L819" t="s">
        <v>40</v>
      </c>
    </row>
    <row r="820" spans="1:13" x14ac:dyDescent="0.25">
      <c r="A820">
        <v>1818</v>
      </c>
      <c r="B820" t="s">
        <v>589</v>
      </c>
      <c r="C820" t="s">
        <v>42</v>
      </c>
      <c r="D820" t="s">
        <v>116</v>
      </c>
      <c r="E820" t="s">
        <v>95</v>
      </c>
      <c r="F820" t="s">
        <v>73</v>
      </c>
      <c r="G820">
        <v>5</v>
      </c>
      <c r="H820">
        <v>29.99</v>
      </c>
      <c r="J820" t="s">
        <v>19</v>
      </c>
      <c r="K820" t="s">
        <v>50</v>
      </c>
      <c r="L820" t="s">
        <v>40</v>
      </c>
    </row>
    <row r="821" spans="1:13" x14ac:dyDescent="0.25">
      <c r="A821">
        <v>1819</v>
      </c>
      <c r="C821" t="s">
        <v>14</v>
      </c>
      <c r="D821" t="s">
        <v>84</v>
      </c>
      <c r="E821" t="s">
        <v>59</v>
      </c>
      <c r="F821" t="s">
        <v>60</v>
      </c>
      <c r="G821">
        <v>1</v>
      </c>
      <c r="H821">
        <v>4.99</v>
      </c>
      <c r="J821" t="s">
        <v>33</v>
      </c>
      <c r="K821" t="s">
        <v>45</v>
      </c>
      <c r="L821" t="s">
        <v>46</v>
      </c>
    </row>
    <row r="822" spans="1:13" x14ac:dyDescent="0.25">
      <c r="A822">
        <v>1820</v>
      </c>
      <c r="B822" t="s">
        <v>590</v>
      </c>
      <c r="C822" t="s">
        <v>23</v>
      </c>
      <c r="D822" t="s">
        <v>124</v>
      </c>
      <c r="E822" t="s">
        <v>39</v>
      </c>
      <c r="F822" t="s">
        <v>17</v>
      </c>
      <c r="G822">
        <v>5</v>
      </c>
      <c r="H822">
        <v>39.99</v>
      </c>
      <c r="J822" t="s">
        <v>33</v>
      </c>
      <c r="K822" t="s">
        <v>28</v>
      </c>
      <c r="L822" t="s">
        <v>21</v>
      </c>
    </row>
    <row r="823" spans="1:13" x14ac:dyDescent="0.25">
      <c r="A823">
        <v>1821</v>
      </c>
      <c r="B823" t="s">
        <v>591</v>
      </c>
      <c r="C823" t="s">
        <v>23</v>
      </c>
      <c r="D823" t="s">
        <v>24</v>
      </c>
      <c r="E823" t="s">
        <v>127</v>
      </c>
      <c r="F823" t="s">
        <v>73</v>
      </c>
      <c r="G823">
        <v>-1</v>
      </c>
      <c r="H823">
        <v>29.99</v>
      </c>
      <c r="J823" t="s">
        <v>27</v>
      </c>
      <c r="K823" t="s">
        <v>129</v>
      </c>
      <c r="L823" t="s">
        <v>21</v>
      </c>
    </row>
    <row r="824" spans="1:13" x14ac:dyDescent="0.25">
      <c r="A824">
        <v>1822</v>
      </c>
      <c r="B824" t="s">
        <v>325</v>
      </c>
      <c r="C824" t="s">
        <v>77</v>
      </c>
      <c r="D824" t="s">
        <v>114</v>
      </c>
      <c r="E824" t="s">
        <v>39</v>
      </c>
      <c r="F824" t="s">
        <v>17</v>
      </c>
      <c r="G824">
        <v>3</v>
      </c>
      <c r="H824" t="s">
        <v>117</v>
      </c>
      <c r="J824" t="s">
        <v>62</v>
      </c>
      <c r="K824" t="s">
        <v>50</v>
      </c>
      <c r="L824" t="s">
        <v>35</v>
      </c>
    </row>
    <row r="825" spans="1:13" x14ac:dyDescent="0.25">
      <c r="A825">
        <v>1823</v>
      </c>
      <c r="C825" t="s">
        <v>42</v>
      </c>
      <c r="D825" t="s">
        <v>239</v>
      </c>
      <c r="E825" t="s">
        <v>52</v>
      </c>
      <c r="F825" t="s">
        <v>53</v>
      </c>
      <c r="G825">
        <v>1</v>
      </c>
      <c r="H825">
        <v>59.99</v>
      </c>
      <c r="J825" t="s">
        <v>54</v>
      </c>
      <c r="K825" t="s">
        <v>45</v>
      </c>
      <c r="L825" t="s">
        <v>46</v>
      </c>
    </row>
    <row r="826" spans="1:13" x14ac:dyDescent="0.25">
      <c r="A826">
        <v>1824</v>
      </c>
      <c r="C826" t="s">
        <v>70</v>
      </c>
      <c r="D826" t="s">
        <v>88</v>
      </c>
      <c r="E826" t="s">
        <v>72</v>
      </c>
      <c r="F826" t="s">
        <v>73</v>
      </c>
      <c r="G826">
        <v>-1</v>
      </c>
      <c r="H826">
        <v>49.99</v>
      </c>
      <c r="J826" t="s">
        <v>33</v>
      </c>
      <c r="K826" t="s">
        <v>20</v>
      </c>
      <c r="L826" t="s">
        <v>40</v>
      </c>
      <c r="M826" t="s">
        <v>63</v>
      </c>
    </row>
    <row r="827" spans="1:13" x14ac:dyDescent="0.25">
      <c r="A827">
        <v>1825</v>
      </c>
      <c r="B827" t="s">
        <v>592</v>
      </c>
      <c r="C827" t="s">
        <v>65</v>
      </c>
      <c r="D827" t="s">
        <v>126</v>
      </c>
      <c r="E827" t="s">
        <v>52</v>
      </c>
      <c r="F827" t="s">
        <v>53</v>
      </c>
      <c r="G827">
        <v>5</v>
      </c>
      <c r="H827" t="s">
        <v>97</v>
      </c>
      <c r="J827" t="s">
        <v>54</v>
      </c>
      <c r="K827" t="s">
        <v>28</v>
      </c>
      <c r="L827" t="s">
        <v>35</v>
      </c>
    </row>
    <row r="828" spans="1:13" x14ac:dyDescent="0.25">
      <c r="A828">
        <v>1826</v>
      </c>
      <c r="B828" t="s">
        <v>593</v>
      </c>
      <c r="C828" t="s">
        <v>77</v>
      </c>
      <c r="D828" t="s">
        <v>78</v>
      </c>
      <c r="E828" t="s">
        <v>44</v>
      </c>
      <c r="F828" t="s">
        <v>17</v>
      </c>
      <c r="G828">
        <v>3</v>
      </c>
      <c r="H828" t="s">
        <v>18</v>
      </c>
      <c r="J828" t="s">
        <v>54</v>
      </c>
      <c r="K828" t="s">
        <v>34</v>
      </c>
      <c r="L828" t="s">
        <v>29</v>
      </c>
    </row>
    <row r="829" spans="1:13" x14ac:dyDescent="0.25">
      <c r="A829">
        <v>1827</v>
      </c>
      <c r="C829" t="s">
        <v>77</v>
      </c>
      <c r="D829" t="s">
        <v>301</v>
      </c>
      <c r="E829" t="s">
        <v>72</v>
      </c>
      <c r="F829" t="s">
        <v>73</v>
      </c>
      <c r="G829">
        <v>-1</v>
      </c>
      <c r="H829">
        <v>49.99</v>
      </c>
      <c r="J829" t="s">
        <v>54</v>
      </c>
      <c r="K829" t="s">
        <v>50</v>
      </c>
      <c r="L829" t="s">
        <v>40</v>
      </c>
    </row>
    <row r="830" spans="1:13" x14ac:dyDescent="0.25">
      <c r="A830">
        <v>1828</v>
      </c>
      <c r="C830" t="s">
        <v>70</v>
      </c>
      <c r="D830" t="s">
        <v>88</v>
      </c>
      <c r="E830" t="s">
        <v>85</v>
      </c>
      <c r="F830" t="s">
        <v>26</v>
      </c>
      <c r="G830">
        <v>1</v>
      </c>
      <c r="H830" t="s">
        <v>86</v>
      </c>
      <c r="J830" t="s">
        <v>62</v>
      </c>
      <c r="K830" t="s">
        <v>45</v>
      </c>
      <c r="L830" t="s">
        <v>46</v>
      </c>
    </row>
    <row r="831" spans="1:13" x14ac:dyDescent="0.25">
      <c r="A831">
        <v>1829</v>
      </c>
      <c r="B831" t="s">
        <v>253</v>
      </c>
      <c r="C831" t="s">
        <v>42</v>
      </c>
      <c r="D831" t="s">
        <v>43</v>
      </c>
      <c r="E831" t="s">
        <v>52</v>
      </c>
      <c r="F831" t="s">
        <v>53</v>
      </c>
      <c r="G831">
        <v>4</v>
      </c>
      <c r="H831" t="s">
        <v>97</v>
      </c>
      <c r="J831" t="s">
        <v>33</v>
      </c>
      <c r="K831" t="s">
        <v>34</v>
      </c>
      <c r="L831" t="s">
        <v>29</v>
      </c>
    </row>
    <row r="832" spans="1:13" x14ac:dyDescent="0.25">
      <c r="C832" t="s">
        <v>42</v>
      </c>
      <c r="D832" t="s">
        <v>48</v>
      </c>
      <c r="E832" t="s">
        <v>44</v>
      </c>
      <c r="F832" t="s">
        <v>17</v>
      </c>
      <c r="G832">
        <v>2</v>
      </c>
      <c r="H832">
        <v>15.99</v>
      </c>
      <c r="J832" t="s">
        <v>54</v>
      </c>
      <c r="K832" t="s">
        <v>68</v>
      </c>
      <c r="L832" t="s">
        <v>40</v>
      </c>
    </row>
    <row r="833" spans="1:13" x14ac:dyDescent="0.25">
      <c r="A833">
        <v>1831</v>
      </c>
      <c r="B833" t="s">
        <v>594</v>
      </c>
      <c r="C833" t="s">
        <v>14</v>
      </c>
      <c r="D833" t="s">
        <v>322</v>
      </c>
      <c r="E833" t="s">
        <v>92</v>
      </c>
      <c r="F833" t="s">
        <v>26</v>
      </c>
      <c r="G833">
        <v>2</v>
      </c>
      <c r="H833">
        <v>14.99</v>
      </c>
      <c r="J833" t="s">
        <v>62</v>
      </c>
      <c r="K833" t="s">
        <v>50</v>
      </c>
      <c r="L833" t="s">
        <v>21</v>
      </c>
      <c r="M833" t="s">
        <v>63</v>
      </c>
    </row>
    <row r="834" spans="1:13" x14ac:dyDescent="0.25">
      <c r="A834">
        <v>1832</v>
      </c>
      <c r="B834" t="s">
        <v>595</v>
      </c>
      <c r="C834" t="s">
        <v>37</v>
      </c>
      <c r="D834" t="s">
        <v>169</v>
      </c>
      <c r="E834" t="s">
        <v>49</v>
      </c>
      <c r="F834" t="s">
        <v>26</v>
      </c>
      <c r="G834">
        <v>-1</v>
      </c>
      <c r="H834">
        <v>14.99</v>
      </c>
      <c r="J834" t="s">
        <v>57</v>
      </c>
      <c r="K834" t="s">
        <v>45</v>
      </c>
      <c r="L834" t="s">
        <v>46</v>
      </c>
    </row>
    <row r="835" spans="1:13" x14ac:dyDescent="0.25">
      <c r="A835">
        <v>1833</v>
      </c>
      <c r="B835" t="s">
        <v>596</v>
      </c>
      <c r="C835" t="s">
        <v>23</v>
      </c>
      <c r="E835" t="s">
        <v>127</v>
      </c>
      <c r="F835" t="s">
        <v>73</v>
      </c>
      <c r="G835">
        <v>2</v>
      </c>
      <c r="H835">
        <v>29.99</v>
      </c>
      <c r="J835" t="s">
        <v>54</v>
      </c>
      <c r="K835" t="s">
        <v>28</v>
      </c>
      <c r="L835" t="s">
        <v>40</v>
      </c>
    </row>
    <row r="836" spans="1:13" x14ac:dyDescent="0.25">
      <c r="A836">
        <v>1834</v>
      </c>
      <c r="B836" t="s">
        <v>597</v>
      </c>
      <c r="C836" t="s">
        <v>23</v>
      </c>
      <c r="D836" t="s">
        <v>124</v>
      </c>
      <c r="E836" t="s">
        <v>52</v>
      </c>
      <c r="F836" t="s">
        <v>53</v>
      </c>
      <c r="G836">
        <v>1</v>
      </c>
      <c r="H836">
        <v>59.99</v>
      </c>
      <c r="J836" t="s">
        <v>33</v>
      </c>
      <c r="K836" t="s">
        <v>50</v>
      </c>
      <c r="L836" t="s">
        <v>29</v>
      </c>
    </row>
    <row r="837" spans="1:13" x14ac:dyDescent="0.25">
      <c r="A837">
        <v>1835</v>
      </c>
      <c r="C837" t="s">
        <v>65</v>
      </c>
      <c r="D837" t="s">
        <v>66</v>
      </c>
      <c r="E837" t="s">
        <v>85</v>
      </c>
      <c r="F837" t="s">
        <v>26</v>
      </c>
      <c r="G837">
        <v>4</v>
      </c>
      <c r="H837">
        <v>99.99</v>
      </c>
      <c r="J837" t="s">
        <v>62</v>
      </c>
      <c r="K837" t="s">
        <v>28</v>
      </c>
      <c r="L837" t="s">
        <v>35</v>
      </c>
    </row>
    <row r="838" spans="1:13" x14ac:dyDescent="0.25">
      <c r="A838">
        <v>1836</v>
      </c>
      <c r="C838" t="s">
        <v>65</v>
      </c>
      <c r="D838" t="s">
        <v>126</v>
      </c>
      <c r="E838" t="s">
        <v>52</v>
      </c>
      <c r="F838" t="s">
        <v>53</v>
      </c>
      <c r="G838">
        <v>5</v>
      </c>
      <c r="H838">
        <v>59.99</v>
      </c>
      <c r="J838" t="s">
        <v>19</v>
      </c>
      <c r="K838" t="s">
        <v>45</v>
      </c>
      <c r="L838" t="s">
        <v>21</v>
      </c>
    </row>
    <row r="839" spans="1:13" x14ac:dyDescent="0.25">
      <c r="A839">
        <v>1837</v>
      </c>
      <c r="C839" t="s">
        <v>77</v>
      </c>
      <c r="D839" t="s">
        <v>78</v>
      </c>
      <c r="E839" t="s">
        <v>44</v>
      </c>
      <c r="F839" t="s">
        <v>17</v>
      </c>
      <c r="G839">
        <v>1</v>
      </c>
      <c r="H839">
        <v>15.99</v>
      </c>
      <c r="J839" t="s">
        <v>57</v>
      </c>
      <c r="K839" t="s">
        <v>129</v>
      </c>
      <c r="L839" t="s">
        <v>29</v>
      </c>
    </row>
    <row r="840" spans="1:13" x14ac:dyDescent="0.25">
      <c r="A840">
        <v>1838</v>
      </c>
      <c r="B840" t="s">
        <v>240</v>
      </c>
      <c r="C840" t="s">
        <v>65</v>
      </c>
      <c r="D840" t="s">
        <v>66</v>
      </c>
      <c r="E840" t="s">
        <v>59</v>
      </c>
      <c r="F840" t="s">
        <v>60</v>
      </c>
      <c r="H840">
        <v>4.99</v>
      </c>
      <c r="J840" t="s">
        <v>33</v>
      </c>
      <c r="K840" t="s">
        <v>50</v>
      </c>
      <c r="L840" t="s">
        <v>40</v>
      </c>
    </row>
    <row r="841" spans="1:13" x14ac:dyDescent="0.25">
      <c r="A841">
        <v>1839</v>
      </c>
      <c r="C841" t="s">
        <v>65</v>
      </c>
      <c r="D841" t="s">
        <v>123</v>
      </c>
      <c r="E841" t="s">
        <v>44</v>
      </c>
      <c r="F841" t="s">
        <v>17</v>
      </c>
      <c r="H841">
        <v>15.99</v>
      </c>
      <c r="J841" t="s">
        <v>19</v>
      </c>
      <c r="K841" t="s">
        <v>68</v>
      </c>
      <c r="L841" t="s">
        <v>40</v>
      </c>
    </row>
    <row r="842" spans="1:13" x14ac:dyDescent="0.25">
      <c r="A842">
        <v>1840</v>
      </c>
      <c r="B842" t="s">
        <v>334</v>
      </c>
      <c r="C842" t="s">
        <v>70</v>
      </c>
      <c r="D842" t="s">
        <v>71</v>
      </c>
      <c r="E842" t="s">
        <v>52</v>
      </c>
      <c r="F842" t="s">
        <v>53</v>
      </c>
      <c r="H842">
        <v>59.99</v>
      </c>
      <c r="J842" t="s">
        <v>62</v>
      </c>
      <c r="K842" t="s">
        <v>34</v>
      </c>
      <c r="L842" t="s">
        <v>35</v>
      </c>
    </row>
    <row r="843" spans="1:13" x14ac:dyDescent="0.25">
      <c r="A843">
        <v>1841</v>
      </c>
      <c r="B843" t="s">
        <v>598</v>
      </c>
      <c r="C843" t="s">
        <v>70</v>
      </c>
      <c r="D843" t="s">
        <v>71</v>
      </c>
      <c r="E843" t="s">
        <v>127</v>
      </c>
      <c r="F843" t="s">
        <v>73</v>
      </c>
      <c r="H843">
        <v>29.99</v>
      </c>
      <c r="J843" t="s">
        <v>62</v>
      </c>
      <c r="K843" t="s">
        <v>68</v>
      </c>
      <c r="L843" t="s">
        <v>29</v>
      </c>
      <c r="M843" t="s">
        <v>63</v>
      </c>
    </row>
    <row r="844" spans="1:13" x14ac:dyDescent="0.25">
      <c r="A844">
        <v>1842</v>
      </c>
      <c r="B844" t="s">
        <v>121</v>
      </c>
      <c r="C844" t="s">
        <v>65</v>
      </c>
      <c r="D844" t="s">
        <v>126</v>
      </c>
      <c r="E844" t="s">
        <v>52</v>
      </c>
      <c r="F844" t="s">
        <v>53</v>
      </c>
      <c r="G844">
        <v>3</v>
      </c>
      <c r="H844" t="s">
        <v>97</v>
      </c>
      <c r="J844" t="s">
        <v>62</v>
      </c>
      <c r="K844" t="s">
        <v>55</v>
      </c>
      <c r="L844" t="s">
        <v>40</v>
      </c>
    </row>
    <row r="845" spans="1:13" x14ac:dyDescent="0.25">
      <c r="A845">
        <v>1843</v>
      </c>
      <c r="D845" t="s">
        <v>84</v>
      </c>
      <c r="E845" t="s">
        <v>44</v>
      </c>
      <c r="F845" t="s">
        <v>17</v>
      </c>
      <c r="G845">
        <v>4</v>
      </c>
      <c r="H845">
        <v>15.99</v>
      </c>
      <c r="J845" t="s">
        <v>57</v>
      </c>
      <c r="K845" t="s">
        <v>68</v>
      </c>
      <c r="L845" t="s">
        <v>29</v>
      </c>
    </row>
    <row r="846" spans="1:13" x14ac:dyDescent="0.25">
      <c r="A846">
        <v>1844</v>
      </c>
      <c r="B846" t="s">
        <v>326</v>
      </c>
      <c r="D846" t="s">
        <v>71</v>
      </c>
      <c r="E846" t="s">
        <v>212</v>
      </c>
      <c r="F846" t="s">
        <v>53</v>
      </c>
      <c r="G846">
        <v>-1</v>
      </c>
      <c r="H846" t="s">
        <v>97</v>
      </c>
      <c r="J846" t="s">
        <v>54</v>
      </c>
      <c r="K846" t="s">
        <v>20</v>
      </c>
      <c r="L846" t="s">
        <v>35</v>
      </c>
    </row>
    <row r="847" spans="1:13" x14ac:dyDescent="0.25">
      <c r="A847">
        <v>1845</v>
      </c>
      <c r="B847" t="s">
        <v>599</v>
      </c>
      <c r="C847" t="s">
        <v>65</v>
      </c>
      <c r="D847" t="s">
        <v>66</v>
      </c>
      <c r="E847" t="s">
        <v>44</v>
      </c>
      <c r="F847" t="s">
        <v>17</v>
      </c>
      <c r="G847">
        <v>5</v>
      </c>
      <c r="H847">
        <v>15.99</v>
      </c>
      <c r="J847" t="s">
        <v>57</v>
      </c>
      <c r="K847" t="s">
        <v>55</v>
      </c>
      <c r="L847" t="s">
        <v>21</v>
      </c>
      <c r="M847" t="s">
        <v>63</v>
      </c>
    </row>
    <row r="848" spans="1:13" x14ac:dyDescent="0.25">
      <c r="A848">
        <v>1846</v>
      </c>
      <c r="B848" t="s">
        <v>80</v>
      </c>
      <c r="C848" t="s">
        <v>23</v>
      </c>
      <c r="D848" t="s">
        <v>124</v>
      </c>
      <c r="E848" t="s">
        <v>16</v>
      </c>
      <c r="F848" t="s">
        <v>17</v>
      </c>
      <c r="H848">
        <v>15.99</v>
      </c>
      <c r="J848" t="s">
        <v>62</v>
      </c>
      <c r="K848" t="s">
        <v>50</v>
      </c>
      <c r="L848" t="s">
        <v>46</v>
      </c>
    </row>
    <row r="849" spans="1:13" x14ac:dyDescent="0.25">
      <c r="A849">
        <v>1847</v>
      </c>
      <c r="B849" t="s">
        <v>302</v>
      </c>
      <c r="C849" t="s">
        <v>65</v>
      </c>
      <c r="D849" t="s">
        <v>66</v>
      </c>
      <c r="E849" t="s">
        <v>52</v>
      </c>
      <c r="F849" t="s">
        <v>53</v>
      </c>
      <c r="G849">
        <v>2</v>
      </c>
      <c r="H849">
        <v>59.99</v>
      </c>
      <c r="J849" t="s">
        <v>54</v>
      </c>
      <c r="K849" t="s">
        <v>55</v>
      </c>
      <c r="L849" t="s">
        <v>29</v>
      </c>
    </row>
    <row r="850" spans="1:13" x14ac:dyDescent="0.25">
      <c r="A850">
        <v>1848</v>
      </c>
      <c r="B850" t="s">
        <v>600</v>
      </c>
      <c r="C850" t="s">
        <v>37</v>
      </c>
      <c r="D850" t="s">
        <v>38</v>
      </c>
      <c r="E850" t="s">
        <v>72</v>
      </c>
      <c r="F850" t="s">
        <v>73</v>
      </c>
      <c r="G850">
        <v>2</v>
      </c>
      <c r="H850">
        <v>49.99</v>
      </c>
      <c r="J850" t="s">
        <v>62</v>
      </c>
      <c r="K850" t="s">
        <v>20</v>
      </c>
      <c r="L850" t="s">
        <v>35</v>
      </c>
    </row>
    <row r="851" spans="1:13" x14ac:dyDescent="0.25">
      <c r="A851">
        <v>1849</v>
      </c>
      <c r="C851" t="s">
        <v>70</v>
      </c>
      <c r="E851" t="s">
        <v>44</v>
      </c>
      <c r="F851" t="s">
        <v>17</v>
      </c>
      <c r="H851" t="s">
        <v>18</v>
      </c>
      <c r="J851" t="s">
        <v>33</v>
      </c>
      <c r="K851" t="s">
        <v>68</v>
      </c>
      <c r="L851" t="s">
        <v>21</v>
      </c>
    </row>
    <row r="852" spans="1:13" x14ac:dyDescent="0.25">
      <c r="A852">
        <v>1850</v>
      </c>
      <c r="B852" t="s">
        <v>601</v>
      </c>
      <c r="C852" t="s">
        <v>70</v>
      </c>
      <c r="D852" t="s">
        <v>131</v>
      </c>
      <c r="E852" t="s">
        <v>25</v>
      </c>
      <c r="F852" t="s">
        <v>26</v>
      </c>
      <c r="G852">
        <v>2</v>
      </c>
      <c r="H852">
        <v>99.99</v>
      </c>
      <c r="J852" t="s">
        <v>62</v>
      </c>
      <c r="K852" t="s">
        <v>55</v>
      </c>
      <c r="L852" t="s">
        <v>29</v>
      </c>
    </row>
    <row r="853" spans="1:13" x14ac:dyDescent="0.25">
      <c r="A853">
        <v>1851</v>
      </c>
      <c r="B853" t="s">
        <v>602</v>
      </c>
      <c r="C853" t="s">
        <v>37</v>
      </c>
      <c r="D853" t="s">
        <v>38</v>
      </c>
      <c r="E853" t="s">
        <v>92</v>
      </c>
      <c r="F853" t="s">
        <v>26</v>
      </c>
      <c r="G853">
        <v>5</v>
      </c>
      <c r="H853" t="s">
        <v>56</v>
      </c>
      <c r="J853" t="s">
        <v>27</v>
      </c>
      <c r="K853" t="s">
        <v>28</v>
      </c>
      <c r="L853" t="s">
        <v>46</v>
      </c>
    </row>
    <row r="854" spans="1:13" x14ac:dyDescent="0.25">
      <c r="A854">
        <v>1852</v>
      </c>
      <c r="B854" t="s">
        <v>603</v>
      </c>
      <c r="C854" t="s">
        <v>77</v>
      </c>
      <c r="D854" t="s">
        <v>120</v>
      </c>
      <c r="E854" t="s">
        <v>44</v>
      </c>
      <c r="F854" t="s">
        <v>17</v>
      </c>
      <c r="H854">
        <v>15.99</v>
      </c>
      <c r="J854" t="s">
        <v>62</v>
      </c>
      <c r="K854" t="s">
        <v>34</v>
      </c>
      <c r="L854" t="s">
        <v>21</v>
      </c>
    </row>
    <row r="855" spans="1:13" x14ac:dyDescent="0.25">
      <c r="A855">
        <v>1853</v>
      </c>
      <c r="B855" t="s">
        <v>407</v>
      </c>
      <c r="C855" t="s">
        <v>70</v>
      </c>
      <c r="D855" t="s">
        <v>131</v>
      </c>
      <c r="E855" t="s">
        <v>25</v>
      </c>
      <c r="F855" t="s">
        <v>26</v>
      </c>
      <c r="G855">
        <v>1</v>
      </c>
      <c r="H855" t="s">
        <v>86</v>
      </c>
      <c r="J855" t="s">
        <v>57</v>
      </c>
      <c r="K855" t="s">
        <v>50</v>
      </c>
      <c r="L855" t="s">
        <v>29</v>
      </c>
    </row>
    <row r="856" spans="1:13" x14ac:dyDescent="0.25">
      <c r="A856">
        <v>1854</v>
      </c>
      <c r="B856" t="s">
        <v>604</v>
      </c>
      <c r="C856" t="s">
        <v>65</v>
      </c>
      <c r="D856" t="s">
        <v>101</v>
      </c>
      <c r="E856" t="s">
        <v>82</v>
      </c>
      <c r="F856" t="s">
        <v>60</v>
      </c>
      <c r="G856">
        <v>1</v>
      </c>
      <c r="H856" t="s">
        <v>61</v>
      </c>
      <c r="J856" t="s">
        <v>33</v>
      </c>
      <c r="K856" t="s">
        <v>28</v>
      </c>
      <c r="L856" t="s">
        <v>29</v>
      </c>
    </row>
    <row r="857" spans="1:13" x14ac:dyDescent="0.25">
      <c r="A857">
        <v>1855</v>
      </c>
      <c r="B857" t="s">
        <v>605</v>
      </c>
      <c r="C857" t="s">
        <v>42</v>
      </c>
      <c r="D857" t="s">
        <v>43</v>
      </c>
      <c r="E857" t="s">
        <v>82</v>
      </c>
      <c r="F857" t="s">
        <v>60</v>
      </c>
      <c r="G857">
        <v>4</v>
      </c>
      <c r="H857">
        <v>4.99</v>
      </c>
      <c r="J857" t="s">
        <v>62</v>
      </c>
      <c r="K857" t="s">
        <v>55</v>
      </c>
      <c r="L857" t="s">
        <v>35</v>
      </c>
    </row>
    <row r="858" spans="1:13" x14ac:dyDescent="0.25">
      <c r="A858">
        <v>1856</v>
      </c>
      <c r="B858" t="s">
        <v>330</v>
      </c>
      <c r="C858" t="s">
        <v>42</v>
      </c>
      <c r="E858" t="s">
        <v>92</v>
      </c>
      <c r="F858" t="s">
        <v>26</v>
      </c>
      <c r="H858">
        <v>14.99</v>
      </c>
      <c r="J858" t="s">
        <v>19</v>
      </c>
      <c r="K858" t="s">
        <v>50</v>
      </c>
      <c r="L858" t="s">
        <v>21</v>
      </c>
    </row>
    <row r="859" spans="1:13" x14ac:dyDescent="0.25">
      <c r="A859">
        <v>1857</v>
      </c>
      <c r="B859" t="s">
        <v>307</v>
      </c>
      <c r="C859" t="s">
        <v>23</v>
      </c>
      <c r="E859" t="s">
        <v>16</v>
      </c>
      <c r="F859" t="s">
        <v>17</v>
      </c>
      <c r="G859">
        <v>1</v>
      </c>
      <c r="H859">
        <v>15.99</v>
      </c>
      <c r="J859" t="s">
        <v>19</v>
      </c>
      <c r="K859" t="s">
        <v>28</v>
      </c>
      <c r="L859" t="s">
        <v>46</v>
      </c>
    </row>
    <row r="860" spans="1:13" x14ac:dyDescent="0.25">
      <c r="A860">
        <v>1858</v>
      </c>
      <c r="B860" t="s">
        <v>606</v>
      </c>
      <c r="C860" t="s">
        <v>37</v>
      </c>
      <c r="D860" t="s">
        <v>162</v>
      </c>
      <c r="E860" t="s">
        <v>85</v>
      </c>
      <c r="F860" t="s">
        <v>26</v>
      </c>
      <c r="G860">
        <v>5</v>
      </c>
      <c r="H860">
        <v>99.99</v>
      </c>
      <c r="J860" t="s">
        <v>57</v>
      </c>
      <c r="K860" t="s">
        <v>28</v>
      </c>
      <c r="L860" t="s">
        <v>21</v>
      </c>
    </row>
    <row r="861" spans="1:13" x14ac:dyDescent="0.25">
      <c r="A861">
        <v>1859</v>
      </c>
      <c r="B861" t="s">
        <v>209</v>
      </c>
      <c r="C861" t="s">
        <v>42</v>
      </c>
      <c r="D861" t="s">
        <v>239</v>
      </c>
      <c r="E861" t="s">
        <v>67</v>
      </c>
      <c r="F861" t="s">
        <v>32</v>
      </c>
      <c r="H861">
        <v>79.989999999999995</v>
      </c>
      <c r="J861" t="s">
        <v>33</v>
      </c>
      <c r="K861" t="s">
        <v>68</v>
      </c>
      <c r="L861" t="s">
        <v>35</v>
      </c>
    </row>
    <row r="862" spans="1:13" x14ac:dyDescent="0.25">
      <c r="A862">
        <v>1860</v>
      </c>
      <c r="B862" t="s">
        <v>211</v>
      </c>
      <c r="C862" t="s">
        <v>77</v>
      </c>
      <c r="D862" t="s">
        <v>114</v>
      </c>
      <c r="E862" t="s">
        <v>16</v>
      </c>
      <c r="F862" t="s">
        <v>17</v>
      </c>
      <c r="H862">
        <v>15.99</v>
      </c>
      <c r="J862" t="s">
        <v>62</v>
      </c>
      <c r="K862" t="s">
        <v>55</v>
      </c>
      <c r="L862" t="s">
        <v>29</v>
      </c>
    </row>
    <row r="863" spans="1:13" x14ac:dyDescent="0.25">
      <c r="A863">
        <v>1861</v>
      </c>
      <c r="B863" t="s">
        <v>100</v>
      </c>
      <c r="C863" t="s">
        <v>42</v>
      </c>
      <c r="D863" t="s">
        <v>116</v>
      </c>
      <c r="E863" t="s">
        <v>31</v>
      </c>
      <c r="F863" t="s">
        <v>32</v>
      </c>
      <c r="G863">
        <v>3</v>
      </c>
      <c r="H863" t="s">
        <v>125</v>
      </c>
      <c r="J863" t="s">
        <v>19</v>
      </c>
      <c r="K863" t="s">
        <v>45</v>
      </c>
      <c r="L863" t="s">
        <v>35</v>
      </c>
      <c r="M863" t="s">
        <v>63</v>
      </c>
    </row>
    <row r="864" spans="1:13" x14ac:dyDescent="0.25">
      <c r="A864">
        <v>1862</v>
      </c>
      <c r="C864" t="s">
        <v>77</v>
      </c>
      <c r="D864" t="s">
        <v>78</v>
      </c>
      <c r="E864" t="s">
        <v>127</v>
      </c>
      <c r="F864" t="s">
        <v>73</v>
      </c>
      <c r="G864">
        <v>1</v>
      </c>
      <c r="H864">
        <v>29.99</v>
      </c>
      <c r="J864" t="s">
        <v>57</v>
      </c>
      <c r="K864" t="s">
        <v>34</v>
      </c>
      <c r="L864" t="s">
        <v>40</v>
      </c>
    </row>
    <row r="865" spans="1:13" x14ac:dyDescent="0.25">
      <c r="A865">
        <v>1863</v>
      </c>
      <c r="C865" t="s">
        <v>23</v>
      </c>
      <c r="D865" t="s">
        <v>24</v>
      </c>
      <c r="E865" t="s">
        <v>92</v>
      </c>
      <c r="F865" t="s">
        <v>26</v>
      </c>
      <c r="G865">
        <v>3</v>
      </c>
      <c r="H865">
        <v>14.99</v>
      </c>
      <c r="J865" t="s">
        <v>33</v>
      </c>
      <c r="K865" t="s">
        <v>28</v>
      </c>
      <c r="L865" t="s">
        <v>29</v>
      </c>
    </row>
    <row r="866" spans="1:13" x14ac:dyDescent="0.25">
      <c r="A866">
        <v>1864</v>
      </c>
      <c r="B866" t="s">
        <v>607</v>
      </c>
      <c r="C866" t="s">
        <v>70</v>
      </c>
      <c r="D866" t="s">
        <v>131</v>
      </c>
      <c r="E866" t="s">
        <v>92</v>
      </c>
      <c r="F866" t="s">
        <v>26</v>
      </c>
      <c r="G866">
        <v>4</v>
      </c>
      <c r="H866">
        <v>14.99</v>
      </c>
      <c r="J866" t="s">
        <v>33</v>
      </c>
      <c r="K866" t="s">
        <v>129</v>
      </c>
      <c r="L866" t="s">
        <v>35</v>
      </c>
    </row>
    <row r="867" spans="1:13" x14ac:dyDescent="0.25">
      <c r="A867">
        <v>1865</v>
      </c>
      <c r="B867" t="s">
        <v>441</v>
      </c>
      <c r="C867" t="s">
        <v>14</v>
      </c>
      <c r="D867" t="s">
        <v>75</v>
      </c>
      <c r="E867" t="s">
        <v>67</v>
      </c>
      <c r="F867" t="s">
        <v>32</v>
      </c>
      <c r="G867">
        <v>3</v>
      </c>
      <c r="H867" t="s">
        <v>125</v>
      </c>
      <c r="J867" t="s">
        <v>62</v>
      </c>
      <c r="K867" t="s">
        <v>28</v>
      </c>
      <c r="L867" t="s">
        <v>29</v>
      </c>
    </row>
    <row r="868" spans="1:13" x14ac:dyDescent="0.25">
      <c r="A868">
        <v>1866</v>
      </c>
      <c r="B868" t="s">
        <v>608</v>
      </c>
      <c r="C868" t="s">
        <v>23</v>
      </c>
      <c r="D868" t="s">
        <v>152</v>
      </c>
      <c r="E868" t="s">
        <v>82</v>
      </c>
      <c r="F868" t="s">
        <v>60</v>
      </c>
      <c r="G868">
        <v>1</v>
      </c>
      <c r="H868">
        <v>4.99</v>
      </c>
      <c r="J868" t="s">
        <v>54</v>
      </c>
      <c r="K868" t="s">
        <v>20</v>
      </c>
      <c r="L868" t="s">
        <v>35</v>
      </c>
    </row>
    <row r="869" spans="1:13" x14ac:dyDescent="0.25">
      <c r="A869">
        <v>1867</v>
      </c>
      <c r="C869" t="s">
        <v>23</v>
      </c>
      <c r="D869" t="s">
        <v>24</v>
      </c>
      <c r="E869" t="s">
        <v>16</v>
      </c>
      <c r="F869" t="s">
        <v>17</v>
      </c>
      <c r="G869">
        <v>-1</v>
      </c>
      <c r="H869">
        <v>15.99</v>
      </c>
      <c r="J869" t="s">
        <v>62</v>
      </c>
      <c r="K869" t="s">
        <v>45</v>
      </c>
      <c r="L869" t="s">
        <v>35</v>
      </c>
    </row>
    <row r="870" spans="1:13" x14ac:dyDescent="0.25">
      <c r="A870">
        <v>1868</v>
      </c>
      <c r="C870" t="s">
        <v>77</v>
      </c>
      <c r="D870" t="s">
        <v>78</v>
      </c>
      <c r="E870" t="s">
        <v>72</v>
      </c>
      <c r="F870" t="s">
        <v>73</v>
      </c>
      <c r="G870">
        <v>3</v>
      </c>
      <c r="H870" t="s">
        <v>108</v>
      </c>
      <c r="J870" t="s">
        <v>54</v>
      </c>
      <c r="K870" t="s">
        <v>129</v>
      </c>
      <c r="L870" t="s">
        <v>29</v>
      </c>
    </row>
    <row r="871" spans="1:13" x14ac:dyDescent="0.25">
      <c r="A871">
        <v>1869</v>
      </c>
      <c r="C871" t="s">
        <v>23</v>
      </c>
      <c r="E871" t="s">
        <v>49</v>
      </c>
      <c r="F871" t="s">
        <v>26</v>
      </c>
      <c r="G871">
        <v>3</v>
      </c>
      <c r="H871">
        <v>14.99</v>
      </c>
      <c r="J871" t="s">
        <v>54</v>
      </c>
      <c r="K871" t="s">
        <v>68</v>
      </c>
      <c r="L871" t="s">
        <v>46</v>
      </c>
    </row>
    <row r="872" spans="1:13" x14ac:dyDescent="0.25">
      <c r="A872">
        <v>1870</v>
      </c>
      <c r="C872" t="s">
        <v>65</v>
      </c>
      <c r="D872" t="s">
        <v>126</v>
      </c>
      <c r="E872" t="s">
        <v>127</v>
      </c>
      <c r="F872" t="s">
        <v>73</v>
      </c>
      <c r="G872">
        <v>-1</v>
      </c>
      <c r="H872">
        <v>29.99</v>
      </c>
      <c r="J872" t="s">
        <v>33</v>
      </c>
      <c r="K872" t="s">
        <v>45</v>
      </c>
      <c r="L872" t="s">
        <v>21</v>
      </c>
    </row>
    <row r="873" spans="1:13" x14ac:dyDescent="0.25">
      <c r="B873" t="s">
        <v>609</v>
      </c>
      <c r="C873" t="s">
        <v>70</v>
      </c>
      <c r="D873" t="s">
        <v>71</v>
      </c>
      <c r="E873" t="s">
        <v>31</v>
      </c>
      <c r="F873" t="s">
        <v>32</v>
      </c>
      <c r="G873">
        <v>4</v>
      </c>
      <c r="H873">
        <v>79.989999999999995</v>
      </c>
      <c r="J873" t="s">
        <v>27</v>
      </c>
      <c r="K873" t="s">
        <v>28</v>
      </c>
      <c r="L873" t="s">
        <v>21</v>
      </c>
      <c r="M873" t="s">
        <v>63</v>
      </c>
    </row>
    <row r="874" spans="1:13" x14ac:dyDescent="0.25">
      <c r="A874">
        <v>1872</v>
      </c>
      <c r="B874" t="s">
        <v>111</v>
      </c>
      <c r="D874" t="s">
        <v>38</v>
      </c>
      <c r="E874" t="s">
        <v>44</v>
      </c>
      <c r="F874" t="s">
        <v>17</v>
      </c>
      <c r="G874">
        <v>3</v>
      </c>
      <c r="H874" t="s">
        <v>18</v>
      </c>
      <c r="J874" t="s">
        <v>27</v>
      </c>
      <c r="K874" t="s">
        <v>20</v>
      </c>
      <c r="L874" t="s">
        <v>46</v>
      </c>
    </row>
    <row r="875" spans="1:13" x14ac:dyDescent="0.25">
      <c r="A875">
        <v>1873</v>
      </c>
      <c r="B875" t="s">
        <v>325</v>
      </c>
      <c r="C875" t="s">
        <v>23</v>
      </c>
      <c r="D875" t="s">
        <v>24</v>
      </c>
      <c r="E875" t="s">
        <v>85</v>
      </c>
      <c r="F875" t="s">
        <v>26</v>
      </c>
      <c r="H875" t="s">
        <v>86</v>
      </c>
      <c r="J875" t="s">
        <v>62</v>
      </c>
      <c r="K875" t="s">
        <v>28</v>
      </c>
      <c r="L875" t="s">
        <v>21</v>
      </c>
    </row>
    <row r="876" spans="1:13" x14ac:dyDescent="0.25">
      <c r="A876">
        <v>1874</v>
      </c>
      <c r="B876" t="s">
        <v>610</v>
      </c>
      <c r="C876" t="s">
        <v>77</v>
      </c>
      <c r="D876" t="s">
        <v>91</v>
      </c>
      <c r="E876" t="s">
        <v>67</v>
      </c>
      <c r="F876" t="s">
        <v>32</v>
      </c>
      <c r="G876">
        <v>4</v>
      </c>
      <c r="H876">
        <v>79.989999999999995</v>
      </c>
      <c r="J876" t="s">
        <v>54</v>
      </c>
      <c r="K876" t="s">
        <v>55</v>
      </c>
      <c r="L876" t="s">
        <v>21</v>
      </c>
      <c r="M876" t="s">
        <v>63</v>
      </c>
    </row>
    <row r="877" spans="1:13" x14ac:dyDescent="0.25">
      <c r="A877">
        <v>1875</v>
      </c>
      <c r="C877" t="s">
        <v>42</v>
      </c>
      <c r="D877" t="s">
        <v>116</v>
      </c>
      <c r="E877" t="s">
        <v>127</v>
      </c>
      <c r="F877" t="s">
        <v>73</v>
      </c>
      <c r="G877">
        <v>2</v>
      </c>
      <c r="H877" t="s">
        <v>137</v>
      </c>
      <c r="J877" t="s">
        <v>27</v>
      </c>
      <c r="K877" t="s">
        <v>28</v>
      </c>
      <c r="L877" t="s">
        <v>21</v>
      </c>
    </row>
    <row r="878" spans="1:13" x14ac:dyDescent="0.25">
      <c r="A878">
        <v>1876</v>
      </c>
      <c r="B878" t="s">
        <v>611</v>
      </c>
      <c r="C878" t="s">
        <v>65</v>
      </c>
      <c r="D878" t="s">
        <v>126</v>
      </c>
      <c r="E878" t="s">
        <v>44</v>
      </c>
      <c r="F878" t="s">
        <v>17</v>
      </c>
      <c r="H878">
        <v>15.99</v>
      </c>
      <c r="J878" t="s">
        <v>27</v>
      </c>
      <c r="K878" t="s">
        <v>28</v>
      </c>
      <c r="L878" t="s">
        <v>40</v>
      </c>
    </row>
    <row r="879" spans="1:13" x14ac:dyDescent="0.25">
      <c r="A879">
        <v>1877</v>
      </c>
      <c r="B879" t="s">
        <v>612</v>
      </c>
      <c r="C879" t="s">
        <v>70</v>
      </c>
      <c r="D879" t="s">
        <v>71</v>
      </c>
      <c r="E879" t="s">
        <v>16</v>
      </c>
      <c r="F879" t="s">
        <v>17</v>
      </c>
      <c r="G879">
        <v>4</v>
      </c>
      <c r="H879">
        <v>15.99</v>
      </c>
      <c r="J879" t="s">
        <v>54</v>
      </c>
      <c r="K879" t="s">
        <v>68</v>
      </c>
      <c r="L879" t="s">
        <v>40</v>
      </c>
    </row>
    <row r="880" spans="1:13" x14ac:dyDescent="0.25">
      <c r="A880">
        <v>1878</v>
      </c>
      <c r="D880" t="s">
        <v>88</v>
      </c>
      <c r="E880" t="s">
        <v>25</v>
      </c>
      <c r="F880" t="s">
        <v>26</v>
      </c>
      <c r="G880">
        <v>4</v>
      </c>
      <c r="H880" t="s">
        <v>86</v>
      </c>
      <c r="J880" t="s">
        <v>62</v>
      </c>
      <c r="K880" t="s">
        <v>55</v>
      </c>
      <c r="L880" t="s">
        <v>29</v>
      </c>
      <c r="M880" t="s">
        <v>63</v>
      </c>
    </row>
    <row r="881" spans="1:13" x14ac:dyDescent="0.25">
      <c r="A881">
        <v>1879</v>
      </c>
      <c r="C881" t="s">
        <v>37</v>
      </c>
      <c r="D881" t="s">
        <v>162</v>
      </c>
      <c r="E881" t="s">
        <v>72</v>
      </c>
      <c r="F881" t="s">
        <v>73</v>
      </c>
      <c r="H881" t="s">
        <v>108</v>
      </c>
      <c r="J881" t="s">
        <v>62</v>
      </c>
      <c r="K881" t="s">
        <v>129</v>
      </c>
      <c r="L881" t="s">
        <v>40</v>
      </c>
    </row>
    <row r="882" spans="1:13" x14ac:dyDescent="0.25">
      <c r="A882">
        <v>1880</v>
      </c>
      <c r="B882" t="s">
        <v>613</v>
      </c>
      <c r="C882" t="s">
        <v>14</v>
      </c>
      <c r="D882" t="s">
        <v>84</v>
      </c>
      <c r="E882" t="s">
        <v>72</v>
      </c>
      <c r="F882" t="s">
        <v>73</v>
      </c>
      <c r="G882">
        <v>4</v>
      </c>
      <c r="H882" t="s">
        <v>108</v>
      </c>
      <c r="J882" t="s">
        <v>57</v>
      </c>
      <c r="K882" t="s">
        <v>34</v>
      </c>
      <c r="L882" t="s">
        <v>29</v>
      </c>
    </row>
    <row r="883" spans="1:13" x14ac:dyDescent="0.25">
      <c r="A883">
        <v>1881</v>
      </c>
      <c r="B883" t="s">
        <v>614</v>
      </c>
      <c r="C883" t="s">
        <v>65</v>
      </c>
      <c r="D883" t="s">
        <v>123</v>
      </c>
      <c r="E883" t="s">
        <v>72</v>
      </c>
      <c r="F883" t="s">
        <v>73</v>
      </c>
      <c r="G883">
        <v>3</v>
      </c>
      <c r="H883">
        <v>49.99</v>
      </c>
      <c r="J883" t="s">
        <v>57</v>
      </c>
      <c r="K883" t="s">
        <v>28</v>
      </c>
      <c r="L883" t="s">
        <v>46</v>
      </c>
    </row>
    <row r="884" spans="1:13" x14ac:dyDescent="0.25">
      <c r="A884">
        <v>1882</v>
      </c>
      <c r="B884" t="s">
        <v>615</v>
      </c>
      <c r="C884" t="s">
        <v>37</v>
      </c>
      <c r="E884" t="s">
        <v>39</v>
      </c>
      <c r="F884" t="s">
        <v>17</v>
      </c>
      <c r="G884">
        <v>1</v>
      </c>
      <c r="H884" t="s">
        <v>117</v>
      </c>
      <c r="J884" t="s">
        <v>62</v>
      </c>
      <c r="K884" t="s">
        <v>129</v>
      </c>
      <c r="L884" t="s">
        <v>21</v>
      </c>
    </row>
    <row r="885" spans="1:13" x14ac:dyDescent="0.25">
      <c r="A885">
        <v>1883</v>
      </c>
      <c r="B885" t="s">
        <v>616</v>
      </c>
      <c r="C885" t="s">
        <v>77</v>
      </c>
      <c r="D885" t="s">
        <v>78</v>
      </c>
      <c r="E885" t="s">
        <v>82</v>
      </c>
      <c r="F885" t="s">
        <v>60</v>
      </c>
      <c r="H885">
        <v>4.99</v>
      </c>
      <c r="J885" t="s">
        <v>57</v>
      </c>
      <c r="K885" t="s">
        <v>45</v>
      </c>
      <c r="L885" t="s">
        <v>35</v>
      </c>
      <c r="M885" t="s">
        <v>63</v>
      </c>
    </row>
    <row r="886" spans="1:13" x14ac:dyDescent="0.25">
      <c r="A886">
        <v>1884</v>
      </c>
      <c r="B886" t="s">
        <v>617</v>
      </c>
      <c r="C886" t="s">
        <v>65</v>
      </c>
      <c r="D886" t="s">
        <v>126</v>
      </c>
      <c r="E886" t="s">
        <v>25</v>
      </c>
      <c r="F886" t="s">
        <v>26</v>
      </c>
      <c r="G886">
        <v>4</v>
      </c>
      <c r="H886">
        <v>99.99</v>
      </c>
      <c r="J886" t="s">
        <v>54</v>
      </c>
      <c r="K886" t="s">
        <v>50</v>
      </c>
      <c r="L886" t="s">
        <v>21</v>
      </c>
    </row>
    <row r="887" spans="1:13" x14ac:dyDescent="0.25">
      <c r="A887">
        <v>1885</v>
      </c>
      <c r="B887" t="s">
        <v>618</v>
      </c>
      <c r="C887" t="s">
        <v>37</v>
      </c>
      <c r="E887" t="s">
        <v>31</v>
      </c>
      <c r="F887" t="s">
        <v>32</v>
      </c>
      <c r="G887">
        <v>3</v>
      </c>
      <c r="H887">
        <v>79.989999999999995</v>
      </c>
      <c r="J887" t="s">
        <v>54</v>
      </c>
      <c r="K887" t="s">
        <v>50</v>
      </c>
      <c r="L887" t="s">
        <v>40</v>
      </c>
    </row>
    <row r="888" spans="1:13" x14ac:dyDescent="0.25">
      <c r="A888">
        <v>1886</v>
      </c>
      <c r="C888" t="s">
        <v>70</v>
      </c>
      <c r="E888" t="s">
        <v>52</v>
      </c>
      <c r="F888" t="s">
        <v>53</v>
      </c>
      <c r="G888">
        <v>4</v>
      </c>
      <c r="H888">
        <v>59.99</v>
      </c>
      <c r="J888" t="s">
        <v>27</v>
      </c>
      <c r="K888" t="s">
        <v>129</v>
      </c>
      <c r="L888" t="s">
        <v>29</v>
      </c>
    </row>
    <row r="889" spans="1:13" x14ac:dyDescent="0.25">
      <c r="A889">
        <v>1887</v>
      </c>
      <c r="C889" t="s">
        <v>42</v>
      </c>
      <c r="D889" t="s">
        <v>43</v>
      </c>
      <c r="E889" t="s">
        <v>72</v>
      </c>
      <c r="F889" t="s">
        <v>73</v>
      </c>
      <c r="G889">
        <v>1</v>
      </c>
      <c r="H889">
        <v>49.99</v>
      </c>
      <c r="J889" t="s">
        <v>27</v>
      </c>
      <c r="K889" t="s">
        <v>129</v>
      </c>
      <c r="L889" t="s">
        <v>40</v>
      </c>
    </row>
    <row r="890" spans="1:13" x14ac:dyDescent="0.25">
      <c r="A890">
        <v>1888</v>
      </c>
      <c r="B890" t="s">
        <v>143</v>
      </c>
      <c r="C890" t="s">
        <v>14</v>
      </c>
      <c r="D890" t="s">
        <v>15</v>
      </c>
      <c r="E890" t="s">
        <v>107</v>
      </c>
      <c r="F890" t="s">
        <v>73</v>
      </c>
      <c r="G890">
        <v>4</v>
      </c>
      <c r="H890" t="s">
        <v>108</v>
      </c>
      <c r="J890" t="s">
        <v>54</v>
      </c>
      <c r="K890" t="s">
        <v>28</v>
      </c>
      <c r="L890" t="s">
        <v>21</v>
      </c>
    </row>
    <row r="891" spans="1:13" x14ac:dyDescent="0.25">
      <c r="A891">
        <v>1889</v>
      </c>
      <c r="B891" t="s">
        <v>619</v>
      </c>
      <c r="C891" t="s">
        <v>65</v>
      </c>
      <c r="D891" t="s">
        <v>126</v>
      </c>
      <c r="E891" t="s">
        <v>44</v>
      </c>
      <c r="F891" t="s">
        <v>17</v>
      </c>
      <c r="H891" t="s">
        <v>18</v>
      </c>
      <c r="J891" t="s">
        <v>57</v>
      </c>
      <c r="K891" t="s">
        <v>28</v>
      </c>
      <c r="L891" t="s">
        <v>40</v>
      </c>
    </row>
    <row r="892" spans="1:13" x14ac:dyDescent="0.25">
      <c r="A892">
        <v>1890</v>
      </c>
      <c r="C892" t="s">
        <v>23</v>
      </c>
      <c r="D892" t="s">
        <v>81</v>
      </c>
      <c r="E892" t="s">
        <v>67</v>
      </c>
      <c r="F892" t="s">
        <v>32</v>
      </c>
      <c r="G892">
        <v>1</v>
      </c>
      <c r="H892">
        <v>79.989999999999995</v>
      </c>
      <c r="J892" t="s">
        <v>57</v>
      </c>
      <c r="K892" t="s">
        <v>45</v>
      </c>
      <c r="L892" t="s">
        <v>46</v>
      </c>
    </row>
    <row r="893" spans="1:13" x14ac:dyDescent="0.25">
      <c r="A893">
        <v>1891</v>
      </c>
      <c r="B893" t="s">
        <v>620</v>
      </c>
      <c r="C893" t="s">
        <v>14</v>
      </c>
      <c r="D893" t="s">
        <v>75</v>
      </c>
      <c r="E893" t="s">
        <v>127</v>
      </c>
      <c r="F893" t="s">
        <v>73</v>
      </c>
      <c r="G893">
        <v>2</v>
      </c>
      <c r="H893">
        <v>29.99</v>
      </c>
      <c r="J893" t="s">
        <v>62</v>
      </c>
      <c r="K893" t="s">
        <v>129</v>
      </c>
      <c r="L893" t="s">
        <v>40</v>
      </c>
    </row>
    <row r="894" spans="1:13" x14ac:dyDescent="0.25">
      <c r="A894">
        <v>1892</v>
      </c>
      <c r="C894" t="s">
        <v>23</v>
      </c>
      <c r="D894" t="s">
        <v>81</v>
      </c>
      <c r="E894" t="s">
        <v>72</v>
      </c>
      <c r="F894" t="s">
        <v>73</v>
      </c>
      <c r="H894" t="s">
        <v>108</v>
      </c>
      <c r="J894" t="s">
        <v>57</v>
      </c>
      <c r="K894" t="s">
        <v>34</v>
      </c>
      <c r="L894" t="s">
        <v>35</v>
      </c>
    </row>
    <row r="895" spans="1:13" x14ac:dyDescent="0.25">
      <c r="A895">
        <v>1893</v>
      </c>
      <c r="B895" t="s">
        <v>297</v>
      </c>
      <c r="C895" t="s">
        <v>42</v>
      </c>
      <c r="D895" t="s">
        <v>239</v>
      </c>
      <c r="E895" t="s">
        <v>72</v>
      </c>
      <c r="F895" t="s">
        <v>73</v>
      </c>
      <c r="G895">
        <v>-1</v>
      </c>
      <c r="H895" t="s">
        <v>108</v>
      </c>
      <c r="J895" t="s">
        <v>19</v>
      </c>
      <c r="K895" t="s">
        <v>50</v>
      </c>
      <c r="L895" t="s">
        <v>40</v>
      </c>
      <c r="M895" t="s">
        <v>63</v>
      </c>
    </row>
    <row r="896" spans="1:13" x14ac:dyDescent="0.25">
      <c r="A896">
        <v>1894</v>
      </c>
      <c r="B896" t="s">
        <v>621</v>
      </c>
      <c r="C896" t="s">
        <v>65</v>
      </c>
      <c r="D896" t="s">
        <v>123</v>
      </c>
      <c r="E896" t="s">
        <v>44</v>
      </c>
      <c r="F896" t="s">
        <v>17</v>
      </c>
      <c r="H896">
        <v>15.99</v>
      </c>
      <c r="J896" t="s">
        <v>27</v>
      </c>
      <c r="K896" t="s">
        <v>45</v>
      </c>
      <c r="L896" t="s">
        <v>29</v>
      </c>
    </row>
    <row r="897" spans="1:13" x14ac:dyDescent="0.25">
      <c r="A897">
        <v>1895</v>
      </c>
      <c r="B897" t="s">
        <v>622</v>
      </c>
      <c r="C897" t="s">
        <v>23</v>
      </c>
      <c r="D897" t="s">
        <v>124</v>
      </c>
      <c r="E897" t="s">
        <v>82</v>
      </c>
      <c r="F897" t="s">
        <v>60</v>
      </c>
      <c r="G897">
        <v>1</v>
      </c>
      <c r="H897">
        <v>4.99</v>
      </c>
      <c r="J897" t="s">
        <v>57</v>
      </c>
      <c r="K897" t="s">
        <v>20</v>
      </c>
      <c r="L897" t="s">
        <v>46</v>
      </c>
    </row>
    <row r="898" spans="1:13" x14ac:dyDescent="0.25">
      <c r="A898">
        <v>1896</v>
      </c>
      <c r="B898" t="s">
        <v>623</v>
      </c>
      <c r="C898" t="s">
        <v>37</v>
      </c>
      <c r="D898" t="s">
        <v>38</v>
      </c>
      <c r="E898" t="s">
        <v>127</v>
      </c>
      <c r="F898" t="s">
        <v>73</v>
      </c>
      <c r="G898">
        <v>4</v>
      </c>
      <c r="H898" t="s">
        <v>137</v>
      </c>
      <c r="J898" t="s">
        <v>19</v>
      </c>
      <c r="K898" t="s">
        <v>55</v>
      </c>
      <c r="L898" t="s">
        <v>21</v>
      </c>
    </row>
    <row r="899" spans="1:13" x14ac:dyDescent="0.25">
      <c r="A899">
        <v>1897</v>
      </c>
      <c r="B899" t="s">
        <v>234</v>
      </c>
      <c r="C899" t="s">
        <v>37</v>
      </c>
      <c r="D899" t="s">
        <v>162</v>
      </c>
      <c r="E899" t="s">
        <v>85</v>
      </c>
      <c r="F899" t="s">
        <v>26</v>
      </c>
      <c r="H899">
        <v>99.99</v>
      </c>
      <c r="J899" t="s">
        <v>57</v>
      </c>
      <c r="K899" t="s">
        <v>28</v>
      </c>
      <c r="L899" t="s">
        <v>29</v>
      </c>
    </row>
    <row r="900" spans="1:13" x14ac:dyDescent="0.25">
      <c r="A900">
        <v>1898</v>
      </c>
      <c r="C900" t="s">
        <v>14</v>
      </c>
      <c r="D900" t="s">
        <v>75</v>
      </c>
      <c r="E900" t="s">
        <v>92</v>
      </c>
      <c r="F900" t="s">
        <v>26</v>
      </c>
      <c r="G900">
        <v>5</v>
      </c>
      <c r="H900">
        <v>14.99</v>
      </c>
      <c r="J900" t="s">
        <v>19</v>
      </c>
      <c r="K900" t="s">
        <v>28</v>
      </c>
      <c r="L900" t="s">
        <v>40</v>
      </c>
    </row>
    <row r="901" spans="1:13" x14ac:dyDescent="0.25">
      <c r="A901">
        <v>1899</v>
      </c>
      <c r="C901" t="s">
        <v>65</v>
      </c>
      <c r="D901" t="s">
        <v>66</v>
      </c>
      <c r="E901" t="s">
        <v>49</v>
      </c>
      <c r="F901" t="s">
        <v>26</v>
      </c>
      <c r="H901" t="s">
        <v>56</v>
      </c>
      <c r="J901" t="s">
        <v>27</v>
      </c>
      <c r="K901" t="s">
        <v>34</v>
      </c>
      <c r="L901" t="s">
        <v>21</v>
      </c>
    </row>
    <row r="902" spans="1:13" x14ac:dyDescent="0.25">
      <c r="A902">
        <v>1900</v>
      </c>
      <c r="B902" t="s">
        <v>624</v>
      </c>
      <c r="C902" t="s">
        <v>14</v>
      </c>
      <c r="D902" t="s">
        <v>84</v>
      </c>
      <c r="E902" t="s">
        <v>92</v>
      </c>
      <c r="F902" t="s">
        <v>26</v>
      </c>
      <c r="G902">
        <v>4</v>
      </c>
      <c r="H902" t="s">
        <v>56</v>
      </c>
      <c r="J902" t="s">
        <v>19</v>
      </c>
      <c r="K902" t="s">
        <v>50</v>
      </c>
      <c r="L902" t="s">
        <v>46</v>
      </c>
    </row>
    <row r="903" spans="1:13" x14ac:dyDescent="0.25">
      <c r="A903">
        <v>1901</v>
      </c>
      <c r="C903" t="s">
        <v>70</v>
      </c>
      <c r="D903" t="s">
        <v>71</v>
      </c>
      <c r="E903" t="s">
        <v>39</v>
      </c>
      <c r="F903" t="s">
        <v>17</v>
      </c>
      <c r="G903">
        <v>-1</v>
      </c>
      <c r="H903">
        <v>39.99</v>
      </c>
      <c r="J903" t="s">
        <v>57</v>
      </c>
      <c r="K903" t="s">
        <v>129</v>
      </c>
      <c r="L903" t="s">
        <v>21</v>
      </c>
    </row>
    <row r="904" spans="1:13" x14ac:dyDescent="0.25">
      <c r="A904">
        <v>1902</v>
      </c>
      <c r="B904" t="s">
        <v>170</v>
      </c>
      <c r="C904" t="s">
        <v>42</v>
      </c>
      <c r="D904" t="s">
        <v>48</v>
      </c>
      <c r="E904" t="s">
        <v>107</v>
      </c>
      <c r="F904" t="s">
        <v>73</v>
      </c>
      <c r="G904">
        <v>2</v>
      </c>
      <c r="H904">
        <v>49.99</v>
      </c>
      <c r="J904" t="s">
        <v>57</v>
      </c>
      <c r="K904" t="s">
        <v>34</v>
      </c>
      <c r="L904" t="s">
        <v>46</v>
      </c>
    </row>
    <row r="905" spans="1:13" x14ac:dyDescent="0.25">
      <c r="A905">
        <v>1903</v>
      </c>
      <c r="C905" t="s">
        <v>23</v>
      </c>
      <c r="D905" t="s">
        <v>24</v>
      </c>
      <c r="E905" t="s">
        <v>127</v>
      </c>
      <c r="F905" t="s">
        <v>73</v>
      </c>
      <c r="G905">
        <v>3</v>
      </c>
      <c r="H905">
        <v>29.99</v>
      </c>
      <c r="J905" t="s">
        <v>27</v>
      </c>
      <c r="K905" t="s">
        <v>34</v>
      </c>
      <c r="L905" t="s">
        <v>21</v>
      </c>
    </row>
    <row r="906" spans="1:13" x14ac:dyDescent="0.25">
      <c r="A906">
        <v>1904</v>
      </c>
      <c r="C906" t="s">
        <v>14</v>
      </c>
      <c r="D906" t="s">
        <v>322</v>
      </c>
      <c r="E906" t="s">
        <v>25</v>
      </c>
      <c r="F906" t="s">
        <v>26</v>
      </c>
      <c r="G906">
        <v>2</v>
      </c>
      <c r="H906">
        <v>99.99</v>
      </c>
      <c r="J906" t="s">
        <v>57</v>
      </c>
      <c r="K906" t="s">
        <v>50</v>
      </c>
      <c r="L906" t="s">
        <v>21</v>
      </c>
    </row>
    <row r="907" spans="1:13" x14ac:dyDescent="0.25">
      <c r="A907">
        <v>1905</v>
      </c>
      <c r="B907" t="s">
        <v>625</v>
      </c>
      <c r="C907" t="s">
        <v>42</v>
      </c>
      <c r="D907" t="s">
        <v>116</v>
      </c>
      <c r="E907" t="s">
        <v>16</v>
      </c>
      <c r="F907" t="s">
        <v>17</v>
      </c>
      <c r="G907">
        <v>-1</v>
      </c>
      <c r="H907">
        <v>15.99</v>
      </c>
      <c r="J907" t="s">
        <v>54</v>
      </c>
      <c r="K907" t="s">
        <v>34</v>
      </c>
      <c r="L907" t="s">
        <v>46</v>
      </c>
    </row>
    <row r="908" spans="1:13" x14ac:dyDescent="0.25">
      <c r="A908">
        <v>1906</v>
      </c>
      <c r="B908" t="s">
        <v>626</v>
      </c>
      <c r="C908" t="s">
        <v>23</v>
      </c>
      <c r="D908" t="s">
        <v>81</v>
      </c>
      <c r="E908" t="s">
        <v>107</v>
      </c>
      <c r="F908" t="s">
        <v>73</v>
      </c>
      <c r="G908">
        <v>4</v>
      </c>
      <c r="H908" t="s">
        <v>108</v>
      </c>
      <c r="J908" t="s">
        <v>54</v>
      </c>
      <c r="K908" t="s">
        <v>34</v>
      </c>
      <c r="L908" t="s">
        <v>40</v>
      </c>
    </row>
    <row r="909" spans="1:13" x14ac:dyDescent="0.25">
      <c r="A909">
        <v>1907</v>
      </c>
      <c r="B909" t="s">
        <v>627</v>
      </c>
      <c r="C909" t="s">
        <v>70</v>
      </c>
      <c r="D909" t="s">
        <v>131</v>
      </c>
      <c r="E909" t="s">
        <v>85</v>
      </c>
      <c r="F909" t="s">
        <v>26</v>
      </c>
      <c r="G909">
        <v>3</v>
      </c>
      <c r="H909" t="s">
        <v>86</v>
      </c>
      <c r="J909" t="s">
        <v>54</v>
      </c>
      <c r="K909" t="s">
        <v>20</v>
      </c>
      <c r="L909" t="s">
        <v>40</v>
      </c>
    </row>
    <row r="910" spans="1:13" x14ac:dyDescent="0.25">
      <c r="A910">
        <v>1908</v>
      </c>
      <c r="B910" t="s">
        <v>291</v>
      </c>
      <c r="C910" t="s">
        <v>65</v>
      </c>
      <c r="D910" t="s">
        <v>123</v>
      </c>
      <c r="E910" t="s">
        <v>31</v>
      </c>
      <c r="F910" t="s">
        <v>32</v>
      </c>
      <c r="G910">
        <v>5</v>
      </c>
      <c r="H910">
        <v>79.989999999999995</v>
      </c>
      <c r="J910" t="s">
        <v>57</v>
      </c>
      <c r="K910" t="s">
        <v>68</v>
      </c>
      <c r="L910" t="s">
        <v>21</v>
      </c>
      <c r="M910" t="s">
        <v>63</v>
      </c>
    </row>
    <row r="911" spans="1:13" x14ac:dyDescent="0.25">
      <c r="A911">
        <v>1909</v>
      </c>
      <c r="C911" t="s">
        <v>37</v>
      </c>
      <c r="D911" t="s">
        <v>162</v>
      </c>
      <c r="E911" t="s">
        <v>44</v>
      </c>
      <c r="F911" t="s">
        <v>17</v>
      </c>
      <c r="H911">
        <v>15.99</v>
      </c>
      <c r="J911" t="s">
        <v>27</v>
      </c>
      <c r="K911" t="s">
        <v>28</v>
      </c>
      <c r="L911" t="s">
        <v>40</v>
      </c>
    </row>
    <row r="912" spans="1:13" x14ac:dyDescent="0.25">
      <c r="A912">
        <v>1910</v>
      </c>
      <c r="B912" t="s">
        <v>628</v>
      </c>
      <c r="C912" t="s">
        <v>70</v>
      </c>
      <c r="D912" t="s">
        <v>131</v>
      </c>
      <c r="E912" t="s">
        <v>82</v>
      </c>
      <c r="F912" t="s">
        <v>60</v>
      </c>
      <c r="G912">
        <v>2</v>
      </c>
      <c r="H912">
        <v>4.99</v>
      </c>
      <c r="J912" t="s">
        <v>54</v>
      </c>
      <c r="K912" t="s">
        <v>55</v>
      </c>
      <c r="L912" t="s">
        <v>29</v>
      </c>
    </row>
    <row r="913" spans="1:12" x14ac:dyDescent="0.25">
      <c r="A913">
        <v>1911</v>
      </c>
      <c r="C913" t="s">
        <v>65</v>
      </c>
      <c r="D913" t="s">
        <v>66</v>
      </c>
      <c r="E913" t="s">
        <v>44</v>
      </c>
      <c r="F913" t="s">
        <v>17</v>
      </c>
      <c r="G913">
        <v>3</v>
      </c>
      <c r="H913">
        <v>15.99</v>
      </c>
      <c r="J913" t="s">
        <v>54</v>
      </c>
      <c r="K913" t="s">
        <v>50</v>
      </c>
      <c r="L913" t="s">
        <v>21</v>
      </c>
    </row>
    <row r="914" spans="1:12" x14ac:dyDescent="0.25">
      <c r="A914">
        <v>1912</v>
      </c>
      <c r="C914" t="s">
        <v>42</v>
      </c>
      <c r="D914" t="s">
        <v>106</v>
      </c>
      <c r="E914" t="s">
        <v>107</v>
      </c>
      <c r="F914" t="s">
        <v>73</v>
      </c>
      <c r="G914">
        <v>4</v>
      </c>
      <c r="H914">
        <v>49.99</v>
      </c>
      <c r="J914" t="s">
        <v>27</v>
      </c>
      <c r="K914" t="s">
        <v>68</v>
      </c>
      <c r="L914" t="s">
        <v>35</v>
      </c>
    </row>
    <row r="915" spans="1:12" x14ac:dyDescent="0.25">
      <c r="A915">
        <v>1913</v>
      </c>
      <c r="C915" t="s">
        <v>37</v>
      </c>
      <c r="D915" t="s">
        <v>38</v>
      </c>
      <c r="E915" t="s">
        <v>85</v>
      </c>
      <c r="F915" t="s">
        <v>26</v>
      </c>
      <c r="H915">
        <v>99.99</v>
      </c>
      <c r="J915" t="s">
        <v>27</v>
      </c>
      <c r="K915" t="s">
        <v>129</v>
      </c>
      <c r="L915" t="s">
        <v>35</v>
      </c>
    </row>
    <row r="916" spans="1:12" x14ac:dyDescent="0.25">
      <c r="A916">
        <v>1914</v>
      </c>
      <c r="B916" t="s">
        <v>83</v>
      </c>
      <c r="C916" t="s">
        <v>70</v>
      </c>
      <c r="D916" t="s">
        <v>131</v>
      </c>
      <c r="E916" t="s">
        <v>16</v>
      </c>
      <c r="F916" t="s">
        <v>17</v>
      </c>
      <c r="G916">
        <v>2</v>
      </c>
      <c r="H916" t="s">
        <v>18</v>
      </c>
      <c r="J916" t="s">
        <v>33</v>
      </c>
      <c r="K916" t="s">
        <v>45</v>
      </c>
      <c r="L916" t="s">
        <v>46</v>
      </c>
    </row>
    <row r="917" spans="1:12" x14ac:dyDescent="0.25">
      <c r="A917">
        <v>1915</v>
      </c>
      <c r="C917" t="s">
        <v>65</v>
      </c>
      <c r="D917" t="s">
        <v>126</v>
      </c>
      <c r="E917" t="s">
        <v>39</v>
      </c>
      <c r="F917" t="s">
        <v>17</v>
      </c>
      <c r="G917">
        <v>5</v>
      </c>
      <c r="H917">
        <v>39.99</v>
      </c>
      <c r="J917" t="s">
        <v>33</v>
      </c>
      <c r="K917" t="s">
        <v>20</v>
      </c>
      <c r="L917" t="s">
        <v>46</v>
      </c>
    </row>
    <row r="918" spans="1:12" x14ac:dyDescent="0.25">
      <c r="A918">
        <v>1916</v>
      </c>
      <c r="C918" t="s">
        <v>42</v>
      </c>
      <c r="D918" t="s">
        <v>43</v>
      </c>
      <c r="E918" t="s">
        <v>85</v>
      </c>
      <c r="F918" t="s">
        <v>26</v>
      </c>
      <c r="H918">
        <v>99.99</v>
      </c>
      <c r="J918" t="s">
        <v>57</v>
      </c>
      <c r="K918" t="s">
        <v>20</v>
      </c>
      <c r="L918" t="s">
        <v>46</v>
      </c>
    </row>
    <row r="919" spans="1:12" x14ac:dyDescent="0.25">
      <c r="A919">
        <v>1917</v>
      </c>
      <c r="B919" t="s">
        <v>629</v>
      </c>
      <c r="C919" t="s">
        <v>65</v>
      </c>
      <c r="D919" t="s">
        <v>123</v>
      </c>
      <c r="E919" t="s">
        <v>127</v>
      </c>
      <c r="F919" t="s">
        <v>73</v>
      </c>
      <c r="G919">
        <v>-1</v>
      </c>
      <c r="H919">
        <v>29.99</v>
      </c>
      <c r="J919" t="s">
        <v>27</v>
      </c>
      <c r="K919" t="s">
        <v>68</v>
      </c>
      <c r="L919" t="s">
        <v>46</v>
      </c>
    </row>
    <row r="920" spans="1:12" x14ac:dyDescent="0.25">
      <c r="A920">
        <v>1918</v>
      </c>
      <c r="B920" t="s">
        <v>630</v>
      </c>
      <c r="C920" t="s">
        <v>37</v>
      </c>
      <c r="D920" t="s">
        <v>162</v>
      </c>
      <c r="E920" t="s">
        <v>31</v>
      </c>
      <c r="F920" t="s">
        <v>32</v>
      </c>
      <c r="H920">
        <v>79.989999999999995</v>
      </c>
      <c r="J920" t="s">
        <v>19</v>
      </c>
      <c r="K920" t="s">
        <v>45</v>
      </c>
      <c r="L920" t="s">
        <v>35</v>
      </c>
    </row>
    <row r="921" spans="1:12" x14ac:dyDescent="0.25">
      <c r="A921">
        <v>1919</v>
      </c>
      <c r="B921" t="s">
        <v>458</v>
      </c>
      <c r="C921" t="s">
        <v>14</v>
      </c>
      <c r="D921" t="s">
        <v>75</v>
      </c>
      <c r="E921" t="s">
        <v>39</v>
      </c>
      <c r="F921" t="s">
        <v>17</v>
      </c>
      <c r="G921">
        <v>1</v>
      </c>
      <c r="H921">
        <v>39.99</v>
      </c>
      <c r="J921" t="s">
        <v>54</v>
      </c>
      <c r="K921" t="s">
        <v>34</v>
      </c>
      <c r="L921" t="s">
        <v>21</v>
      </c>
    </row>
    <row r="922" spans="1:12" x14ac:dyDescent="0.25">
      <c r="A922">
        <v>1920</v>
      </c>
      <c r="B922" t="s">
        <v>631</v>
      </c>
      <c r="C922" t="s">
        <v>70</v>
      </c>
      <c r="D922" t="s">
        <v>131</v>
      </c>
      <c r="E922" t="s">
        <v>44</v>
      </c>
      <c r="F922" t="s">
        <v>17</v>
      </c>
      <c r="H922">
        <v>15.99</v>
      </c>
      <c r="J922" t="s">
        <v>57</v>
      </c>
      <c r="K922" t="s">
        <v>50</v>
      </c>
      <c r="L922" t="s">
        <v>35</v>
      </c>
    </row>
    <row r="923" spans="1:12" x14ac:dyDescent="0.25">
      <c r="A923">
        <v>1921</v>
      </c>
      <c r="B923" t="s">
        <v>632</v>
      </c>
      <c r="C923" t="s">
        <v>77</v>
      </c>
      <c r="D923" t="s">
        <v>91</v>
      </c>
      <c r="E923" t="s">
        <v>39</v>
      </c>
      <c r="F923" t="s">
        <v>17</v>
      </c>
      <c r="G923">
        <v>4</v>
      </c>
      <c r="H923">
        <v>39.99</v>
      </c>
      <c r="J923" t="s">
        <v>19</v>
      </c>
      <c r="K923" t="s">
        <v>20</v>
      </c>
      <c r="L923" t="s">
        <v>21</v>
      </c>
    </row>
    <row r="924" spans="1:12" x14ac:dyDescent="0.25">
      <c r="A924">
        <v>1922</v>
      </c>
      <c r="B924" t="s">
        <v>327</v>
      </c>
      <c r="C924" t="s">
        <v>14</v>
      </c>
      <c r="D924" t="s">
        <v>84</v>
      </c>
      <c r="E924" t="s">
        <v>107</v>
      </c>
      <c r="F924" t="s">
        <v>73</v>
      </c>
      <c r="G924">
        <v>-1</v>
      </c>
      <c r="H924">
        <v>49.99</v>
      </c>
      <c r="J924" t="s">
        <v>62</v>
      </c>
      <c r="K924" t="s">
        <v>45</v>
      </c>
      <c r="L924" t="s">
        <v>35</v>
      </c>
    </row>
    <row r="925" spans="1:12" x14ac:dyDescent="0.25">
      <c r="A925">
        <v>1923</v>
      </c>
      <c r="C925" t="s">
        <v>14</v>
      </c>
      <c r="D925" t="s">
        <v>15</v>
      </c>
      <c r="E925" t="s">
        <v>127</v>
      </c>
      <c r="F925" t="s">
        <v>73</v>
      </c>
      <c r="G925">
        <v>2</v>
      </c>
      <c r="H925">
        <v>29.99</v>
      </c>
      <c r="J925" t="s">
        <v>54</v>
      </c>
      <c r="K925" t="s">
        <v>50</v>
      </c>
      <c r="L925" t="s">
        <v>29</v>
      </c>
    </row>
    <row r="926" spans="1:12" x14ac:dyDescent="0.25">
      <c r="A926">
        <v>1924</v>
      </c>
      <c r="B926" t="s">
        <v>633</v>
      </c>
      <c r="C926" t="s">
        <v>77</v>
      </c>
      <c r="D926" t="s">
        <v>78</v>
      </c>
      <c r="E926" t="s">
        <v>95</v>
      </c>
      <c r="F926" t="s">
        <v>73</v>
      </c>
      <c r="H926">
        <v>29.99</v>
      </c>
      <c r="J926" t="s">
        <v>33</v>
      </c>
      <c r="K926" t="s">
        <v>34</v>
      </c>
      <c r="L926" t="s">
        <v>35</v>
      </c>
    </row>
    <row r="927" spans="1:12" x14ac:dyDescent="0.25">
      <c r="A927">
        <v>1925</v>
      </c>
      <c r="D927" t="s">
        <v>124</v>
      </c>
      <c r="E927" t="s">
        <v>127</v>
      </c>
      <c r="F927" t="s">
        <v>73</v>
      </c>
      <c r="H927">
        <v>29.99</v>
      </c>
      <c r="J927" t="s">
        <v>27</v>
      </c>
      <c r="K927" t="s">
        <v>68</v>
      </c>
      <c r="L927" t="s">
        <v>40</v>
      </c>
    </row>
    <row r="928" spans="1:12" x14ac:dyDescent="0.25">
      <c r="A928">
        <v>1926</v>
      </c>
      <c r="B928" t="s">
        <v>634</v>
      </c>
      <c r="C928" t="s">
        <v>37</v>
      </c>
      <c r="D928" t="s">
        <v>162</v>
      </c>
      <c r="E928" t="s">
        <v>49</v>
      </c>
      <c r="F928" t="s">
        <v>26</v>
      </c>
      <c r="G928">
        <v>5</v>
      </c>
      <c r="H928" t="s">
        <v>56</v>
      </c>
      <c r="J928" t="s">
        <v>54</v>
      </c>
      <c r="K928" t="s">
        <v>34</v>
      </c>
      <c r="L928" t="s">
        <v>40</v>
      </c>
    </row>
    <row r="929" spans="1:12" x14ac:dyDescent="0.25">
      <c r="A929">
        <v>1927</v>
      </c>
      <c r="B929" t="s">
        <v>635</v>
      </c>
      <c r="C929" t="s">
        <v>77</v>
      </c>
      <c r="D929" t="s">
        <v>78</v>
      </c>
      <c r="E929" t="s">
        <v>44</v>
      </c>
      <c r="F929" t="s">
        <v>17</v>
      </c>
      <c r="G929">
        <v>-1</v>
      </c>
      <c r="H929">
        <v>15.99</v>
      </c>
      <c r="J929" t="s">
        <v>62</v>
      </c>
      <c r="K929" t="s">
        <v>28</v>
      </c>
      <c r="L929" t="s">
        <v>40</v>
      </c>
    </row>
    <row r="930" spans="1:12" x14ac:dyDescent="0.25">
      <c r="A930">
        <v>1928</v>
      </c>
      <c r="C930" t="s">
        <v>70</v>
      </c>
      <c r="E930" t="s">
        <v>82</v>
      </c>
      <c r="F930" t="s">
        <v>60</v>
      </c>
      <c r="H930">
        <v>4.99</v>
      </c>
      <c r="J930" t="s">
        <v>54</v>
      </c>
      <c r="K930" t="s">
        <v>55</v>
      </c>
      <c r="L930" t="s">
        <v>46</v>
      </c>
    </row>
    <row r="931" spans="1:12" x14ac:dyDescent="0.25">
      <c r="A931">
        <v>1929</v>
      </c>
      <c r="C931" t="s">
        <v>65</v>
      </c>
      <c r="D931" t="s">
        <v>133</v>
      </c>
      <c r="E931" t="s">
        <v>95</v>
      </c>
      <c r="F931" t="s">
        <v>73</v>
      </c>
      <c r="G931">
        <v>5</v>
      </c>
      <c r="H931" t="s">
        <v>137</v>
      </c>
      <c r="J931" t="s">
        <v>33</v>
      </c>
      <c r="K931" t="s">
        <v>20</v>
      </c>
      <c r="L931" t="s">
        <v>29</v>
      </c>
    </row>
    <row r="932" spans="1:12" x14ac:dyDescent="0.25">
      <c r="A932">
        <v>1930</v>
      </c>
      <c r="B932" t="s">
        <v>636</v>
      </c>
      <c r="C932" t="s">
        <v>42</v>
      </c>
      <c r="D932" t="s">
        <v>116</v>
      </c>
      <c r="E932" t="s">
        <v>82</v>
      </c>
      <c r="F932" t="s">
        <v>60</v>
      </c>
      <c r="G932">
        <v>3</v>
      </c>
      <c r="H932">
        <v>4.99</v>
      </c>
      <c r="J932" t="s">
        <v>19</v>
      </c>
      <c r="K932" t="s">
        <v>68</v>
      </c>
      <c r="L932" t="s">
        <v>46</v>
      </c>
    </row>
    <row r="933" spans="1:12" x14ac:dyDescent="0.25">
      <c r="A933">
        <v>1931</v>
      </c>
      <c r="C933" t="s">
        <v>23</v>
      </c>
      <c r="D933" t="s">
        <v>152</v>
      </c>
      <c r="E933" t="s">
        <v>16</v>
      </c>
      <c r="F933" t="s">
        <v>17</v>
      </c>
      <c r="G933">
        <v>1</v>
      </c>
      <c r="H933" t="s">
        <v>18</v>
      </c>
      <c r="J933" t="s">
        <v>62</v>
      </c>
      <c r="K933" t="s">
        <v>129</v>
      </c>
      <c r="L933" t="s">
        <v>35</v>
      </c>
    </row>
    <row r="934" spans="1:12" x14ac:dyDescent="0.25">
      <c r="A934">
        <v>1932</v>
      </c>
      <c r="B934" t="s">
        <v>637</v>
      </c>
      <c r="C934" t="s">
        <v>65</v>
      </c>
      <c r="D934" t="s">
        <v>123</v>
      </c>
      <c r="E934" t="s">
        <v>72</v>
      </c>
      <c r="F934" t="s">
        <v>73</v>
      </c>
      <c r="G934">
        <v>5</v>
      </c>
      <c r="H934">
        <v>49.99</v>
      </c>
      <c r="J934" t="s">
        <v>54</v>
      </c>
      <c r="K934" t="s">
        <v>50</v>
      </c>
      <c r="L934" t="s">
        <v>21</v>
      </c>
    </row>
    <row r="935" spans="1:12" x14ac:dyDescent="0.25">
      <c r="A935">
        <v>1933</v>
      </c>
      <c r="C935" t="s">
        <v>70</v>
      </c>
      <c r="D935" t="s">
        <v>71</v>
      </c>
      <c r="E935" t="s">
        <v>85</v>
      </c>
      <c r="F935" t="s">
        <v>26</v>
      </c>
      <c r="G935">
        <v>2</v>
      </c>
      <c r="H935" t="s">
        <v>86</v>
      </c>
      <c r="J935" t="s">
        <v>54</v>
      </c>
      <c r="K935" t="s">
        <v>55</v>
      </c>
      <c r="L935" t="s">
        <v>21</v>
      </c>
    </row>
    <row r="936" spans="1:12" x14ac:dyDescent="0.25">
      <c r="A936">
        <v>1934</v>
      </c>
      <c r="B936" t="s">
        <v>431</v>
      </c>
      <c r="C936" t="s">
        <v>42</v>
      </c>
      <c r="D936" t="s">
        <v>48</v>
      </c>
      <c r="E936" t="s">
        <v>72</v>
      </c>
      <c r="F936" t="s">
        <v>73</v>
      </c>
      <c r="H936">
        <v>49.99</v>
      </c>
      <c r="J936" t="s">
        <v>33</v>
      </c>
      <c r="K936" t="s">
        <v>129</v>
      </c>
      <c r="L936" t="s">
        <v>21</v>
      </c>
    </row>
    <row r="937" spans="1:12" x14ac:dyDescent="0.25">
      <c r="A937">
        <v>1935</v>
      </c>
      <c r="B937" t="s">
        <v>238</v>
      </c>
      <c r="C937" t="s">
        <v>42</v>
      </c>
      <c r="D937" t="s">
        <v>48</v>
      </c>
      <c r="E937" t="s">
        <v>85</v>
      </c>
      <c r="F937" t="s">
        <v>26</v>
      </c>
      <c r="H937">
        <v>99.99</v>
      </c>
      <c r="J937" t="s">
        <v>62</v>
      </c>
      <c r="K937" t="s">
        <v>20</v>
      </c>
      <c r="L937" t="s">
        <v>35</v>
      </c>
    </row>
    <row r="938" spans="1:12" x14ac:dyDescent="0.25">
      <c r="A938">
        <v>1936</v>
      </c>
      <c r="B938" t="s">
        <v>437</v>
      </c>
      <c r="C938" t="s">
        <v>70</v>
      </c>
      <c r="D938" t="s">
        <v>88</v>
      </c>
      <c r="E938" t="s">
        <v>39</v>
      </c>
      <c r="F938" t="s">
        <v>17</v>
      </c>
      <c r="H938">
        <v>39.99</v>
      </c>
      <c r="J938" t="s">
        <v>57</v>
      </c>
      <c r="K938" t="s">
        <v>45</v>
      </c>
      <c r="L938" t="s">
        <v>21</v>
      </c>
    </row>
    <row r="939" spans="1:12" x14ac:dyDescent="0.25">
      <c r="A939">
        <v>1937</v>
      </c>
      <c r="B939" t="s">
        <v>488</v>
      </c>
      <c r="C939" t="s">
        <v>14</v>
      </c>
      <c r="D939" t="s">
        <v>15</v>
      </c>
      <c r="E939" t="s">
        <v>16</v>
      </c>
      <c r="F939" t="s">
        <v>17</v>
      </c>
      <c r="G939">
        <v>5</v>
      </c>
      <c r="H939" t="s">
        <v>18</v>
      </c>
      <c r="J939" t="s">
        <v>33</v>
      </c>
      <c r="K939" t="s">
        <v>129</v>
      </c>
      <c r="L939" t="s">
        <v>46</v>
      </c>
    </row>
    <row r="940" spans="1:12" x14ac:dyDescent="0.25">
      <c r="A940">
        <v>1938</v>
      </c>
      <c r="B940" t="s">
        <v>638</v>
      </c>
      <c r="C940" t="s">
        <v>65</v>
      </c>
      <c r="D940" t="s">
        <v>126</v>
      </c>
      <c r="E940" t="s">
        <v>44</v>
      </c>
      <c r="F940" t="s">
        <v>17</v>
      </c>
      <c r="G940">
        <v>4</v>
      </c>
      <c r="H940">
        <v>15.99</v>
      </c>
      <c r="J940" t="s">
        <v>57</v>
      </c>
      <c r="K940" t="s">
        <v>55</v>
      </c>
      <c r="L940" t="s">
        <v>29</v>
      </c>
    </row>
    <row r="941" spans="1:12" x14ac:dyDescent="0.25">
      <c r="A941">
        <v>1939</v>
      </c>
      <c r="B941" t="s">
        <v>639</v>
      </c>
      <c r="C941" t="s">
        <v>70</v>
      </c>
      <c r="D941" t="s">
        <v>71</v>
      </c>
      <c r="E941" t="s">
        <v>127</v>
      </c>
      <c r="F941" t="s">
        <v>73</v>
      </c>
      <c r="G941">
        <v>1</v>
      </c>
      <c r="H941" t="s">
        <v>137</v>
      </c>
      <c r="J941" t="s">
        <v>57</v>
      </c>
      <c r="K941" t="s">
        <v>28</v>
      </c>
      <c r="L941" t="s">
        <v>21</v>
      </c>
    </row>
    <row r="942" spans="1:12" x14ac:dyDescent="0.25">
      <c r="A942">
        <v>1940</v>
      </c>
      <c r="B942" t="s">
        <v>551</v>
      </c>
      <c r="C942" t="s">
        <v>37</v>
      </c>
      <c r="D942" t="s">
        <v>162</v>
      </c>
      <c r="E942" t="s">
        <v>82</v>
      </c>
      <c r="F942" t="s">
        <v>60</v>
      </c>
      <c r="G942">
        <v>4</v>
      </c>
      <c r="H942">
        <v>4.99</v>
      </c>
      <c r="J942" t="s">
        <v>19</v>
      </c>
      <c r="K942" t="s">
        <v>55</v>
      </c>
      <c r="L942" t="s">
        <v>40</v>
      </c>
    </row>
    <row r="943" spans="1:12" x14ac:dyDescent="0.25">
      <c r="A943">
        <v>1941</v>
      </c>
      <c r="B943" t="s">
        <v>640</v>
      </c>
      <c r="C943" t="s">
        <v>14</v>
      </c>
      <c r="D943" t="s">
        <v>84</v>
      </c>
      <c r="E943" t="s">
        <v>39</v>
      </c>
      <c r="F943" t="s">
        <v>17</v>
      </c>
      <c r="G943">
        <v>2</v>
      </c>
      <c r="H943" t="s">
        <v>117</v>
      </c>
      <c r="J943" t="s">
        <v>19</v>
      </c>
      <c r="K943" t="s">
        <v>68</v>
      </c>
      <c r="L943" t="s">
        <v>46</v>
      </c>
    </row>
    <row r="944" spans="1:12" x14ac:dyDescent="0.25">
      <c r="A944">
        <v>1942</v>
      </c>
      <c r="B944" t="s">
        <v>641</v>
      </c>
      <c r="C944" t="s">
        <v>37</v>
      </c>
      <c r="D944" t="s">
        <v>162</v>
      </c>
      <c r="E944" t="s">
        <v>92</v>
      </c>
      <c r="F944" t="s">
        <v>26</v>
      </c>
      <c r="H944" t="s">
        <v>56</v>
      </c>
      <c r="J944" t="s">
        <v>57</v>
      </c>
      <c r="K944" t="s">
        <v>45</v>
      </c>
      <c r="L944" t="s">
        <v>46</v>
      </c>
    </row>
    <row r="945" spans="1:12" x14ac:dyDescent="0.25">
      <c r="A945">
        <v>1943</v>
      </c>
      <c r="B945" t="s">
        <v>642</v>
      </c>
      <c r="C945" t="s">
        <v>23</v>
      </c>
      <c r="E945" t="s">
        <v>92</v>
      </c>
      <c r="F945" t="s">
        <v>26</v>
      </c>
      <c r="G945">
        <v>3</v>
      </c>
      <c r="H945">
        <v>14.99</v>
      </c>
      <c r="J945" t="s">
        <v>27</v>
      </c>
      <c r="K945" t="s">
        <v>45</v>
      </c>
      <c r="L945" t="s">
        <v>35</v>
      </c>
    </row>
    <row r="946" spans="1:12" x14ac:dyDescent="0.25">
      <c r="A946">
        <v>1944</v>
      </c>
      <c r="B946" t="s">
        <v>643</v>
      </c>
      <c r="C946" t="s">
        <v>14</v>
      </c>
      <c r="D946" t="s">
        <v>84</v>
      </c>
      <c r="E946" t="s">
        <v>82</v>
      </c>
      <c r="F946" t="s">
        <v>60</v>
      </c>
      <c r="H946">
        <v>4.99</v>
      </c>
      <c r="J946" t="s">
        <v>27</v>
      </c>
      <c r="K946" t="s">
        <v>68</v>
      </c>
      <c r="L946" t="s">
        <v>29</v>
      </c>
    </row>
    <row r="947" spans="1:12" x14ac:dyDescent="0.25">
      <c r="A947">
        <v>1945</v>
      </c>
      <c r="B947" t="s">
        <v>644</v>
      </c>
      <c r="C947" t="s">
        <v>65</v>
      </c>
      <c r="D947" t="s">
        <v>66</v>
      </c>
      <c r="E947" t="s">
        <v>92</v>
      </c>
      <c r="F947" t="s">
        <v>26</v>
      </c>
      <c r="G947">
        <v>-1</v>
      </c>
      <c r="H947">
        <v>14.99</v>
      </c>
      <c r="J947" t="s">
        <v>54</v>
      </c>
      <c r="K947" t="s">
        <v>129</v>
      </c>
      <c r="L947" t="s">
        <v>46</v>
      </c>
    </row>
    <row r="948" spans="1:12" x14ac:dyDescent="0.25">
      <c r="A948">
        <v>1946</v>
      </c>
      <c r="B948" t="s">
        <v>645</v>
      </c>
      <c r="C948" t="s">
        <v>14</v>
      </c>
      <c r="D948" t="s">
        <v>75</v>
      </c>
      <c r="E948" t="s">
        <v>92</v>
      </c>
      <c r="F948" t="s">
        <v>26</v>
      </c>
      <c r="H948">
        <v>14.99</v>
      </c>
      <c r="J948" t="s">
        <v>33</v>
      </c>
      <c r="K948" t="s">
        <v>55</v>
      </c>
      <c r="L948" t="s">
        <v>46</v>
      </c>
    </row>
    <row r="949" spans="1:12" x14ac:dyDescent="0.25">
      <c r="A949">
        <v>1947</v>
      </c>
      <c r="C949" t="s">
        <v>70</v>
      </c>
      <c r="E949" t="s">
        <v>127</v>
      </c>
      <c r="F949" t="s">
        <v>73</v>
      </c>
      <c r="G949">
        <v>-1</v>
      </c>
      <c r="H949">
        <v>29.99</v>
      </c>
      <c r="J949" t="s">
        <v>54</v>
      </c>
      <c r="K949" t="s">
        <v>34</v>
      </c>
      <c r="L949" t="s">
        <v>21</v>
      </c>
    </row>
    <row r="950" spans="1:12" x14ac:dyDescent="0.25">
      <c r="A950">
        <v>1948</v>
      </c>
      <c r="B950" t="s">
        <v>646</v>
      </c>
      <c r="C950" t="s">
        <v>77</v>
      </c>
      <c r="D950" t="s">
        <v>78</v>
      </c>
      <c r="E950" t="s">
        <v>85</v>
      </c>
      <c r="F950" t="s">
        <v>26</v>
      </c>
      <c r="G950">
        <v>2</v>
      </c>
      <c r="H950" t="s">
        <v>86</v>
      </c>
      <c r="J950" t="s">
        <v>57</v>
      </c>
      <c r="K950" t="s">
        <v>45</v>
      </c>
      <c r="L950" t="s">
        <v>46</v>
      </c>
    </row>
    <row r="951" spans="1:12" x14ac:dyDescent="0.25">
      <c r="A951">
        <v>1949</v>
      </c>
      <c r="B951" t="s">
        <v>647</v>
      </c>
      <c r="C951" t="s">
        <v>77</v>
      </c>
      <c r="D951" t="s">
        <v>78</v>
      </c>
      <c r="E951" t="s">
        <v>72</v>
      </c>
      <c r="F951" t="s">
        <v>73</v>
      </c>
      <c r="G951">
        <v>5</v>
      </c>
      <c r="H951">
        <v>49.99</v>
      </c>
      <c r="J951" t="s">
        <v>33</v>
      </c>
      <c r="K951" t="s">
        <v>68</v>
      </c>
      <c r="L951" t="s">
        <v>35</v>
      </c>
    </row>
    <row r="952" spans="1:12" x14ac:dyDescent="0.25">
      <c r="A952">
        <v>1950</v>
      </c>
      <c r="B952" t="s">
        <v>648</v>
      </c>
      <c r="C952" t="s">
        <v>14</v>
      </c>
      <c r="D952" t="s">
        <v>84</v>
      </c>
      <c r="E952" t="s">
        <v>127</v>
      </c>
      <c r="F952" t="s">
        <v>73</v>
      </c>
      <c r="G952">
        <v>1</v>
      </c>
      <c r="H952" t="s">
        <v>137</v>
      </c>
      <c r="J952" t="s">
        <v>27</v>
      </c>
      <c r="K952" t="s">
        <v>45</v>
      </c>
      <c r="L952" t="s">
        <v>21</v>
      </c>
    </row>
    <row r="953" spans="1:12" x14ac:dyDescent="0.25">
      <c r="A953">
        <v>1951</v>
      </c>
      <c r="C953" t="s">
        <v>23</v>
      </c>
      <c r="D953" t="s">
        <v>81</v>
      </c>
      <c r="E953" t="s">
        <v>72</v>
      </c>
      <c r="F953" t="s">
        <v>73</v>
      </c>
      <c r="G953">
        <v>1</v>
      </c>
      <c r="H953">
        <v>49.99</v>
      </c>
      <c r="J953" t="s">
        <v>54</v>
      </c>
      <c r="K953" t="s">
        <v>50</v>
      </c>
      <c r="L953" t="s">
        <v>46</v>
      </c>
    </row>
    <row r="954" spans="1:12" x14ac:dyDescent="0.25">
      <c r="A954">
        <v>1952</v>
      </c>
      <c r="B954" t="s">
        <v>515</v>
      </c>
      <c r="C954" t="s">
        <v>42</v>
      </c>
      <c r="D954" t="s">
        <v>48</v>
      </c>
      <c r="E954" t="s">
        <v>44</v>
      </c>
      <c r="F954" t="s">
        <v>17</v>
      </c>
      <c r="G954">
        <v>4</v>
      </c>
      <c r="H954">
        <v>15.99</v>
      </c>
      <c r="J954" t="s">
        <v>54</v>
      </c>
      <c r="K954" t="s">
        <v>28</v>
      </c>
      <c r="L954" t="s">
        <v>21</v>
      </c>
    </row>
    <row r="955" spans="1:12" x14ac:dyDescent="0.25">
      <c r="A955">
        <v>1953</v>
      </c>
      <c r="C955" t="s">
        <v>42</v>
      </c>
      <c r="D955" t="s">
        <v>106</v>
      </c>
      <c r="E955" t="s">
        <v>52</v>
      </c>
      <c r="F955" t="s">
        <v>53</v>
      </c>
      <c r="G955">
        <v>5</v>
      </c>
      <c r="H955">
        <v>59.99</v>
      </c>
      <c r="J955" t="s">
        <v>19</v>
      </c>
      <c r="K955" t="s">
        <v>50</v>
      </c>
      <c r="L955" t="s">
        <v>46</v>
      </c>
    </row>
    <row r="956" spans="1:12" x14ac:dyDescent="0.25">
      <c r="A956">
        <v>1954</v>
      </c>
      <c r="B956" t="s">
        <v>649</v>
      </c>
      <c r="C956" t="s">
        <v>42</v>
      </c>
      <c r="D956" t="s">
        <v>116</v>
      </c>
      <c r="E956" t="s">
        <v>89</v>
      </c>
      <c r="F956" t="s">
        <v>17</v>
      </c>
      <c r="G956">
        <v>1</v>
      </c>
      <c r="H956">
        <v>39.99</v>
      </c>
      <c r="J956" t="s">
        <v>19</v>
      </c>
      <c r="K956" t="s">
        <v>129</v>
      </c>
      <c r="L956" t="s">
        <v>35</v>
      </c>
    </row>
    <row r="957" spans="1:12" x14ac:dyDescent="0.25">
      <c r="A957">
        <v>1955</v>
      </c>
      <c r="B957" t="s">
        <v>612</v>
      </c>
      <c r="D957" t="s">
        <v>75</v>
      </c>
      <c r="E957" t="s">
        <v>52</v>
      </c>
      <c r="F957" t="s">
        <v>53</v>
      </c>
      <c r="H957">
        <v>59.99</v>
      </c>
      <c r="J957" t="s">
        <v>19</v>
      </c>
      <c r="K957" t="s">
        <v>55</v>
      </c>
      <c r="L957" t="s">
        <v>46</v>
      </c>
    </row>
    <row r="958" spans="1:12" x14ac:dyDescent="0.25">
      <c r="A958">
        <v>1956</v>
      </c>
      <c r="B958" t="s">
        <v>561</v>
      </c>
      <c r="C958" t="s">
        <v>37</v>
      </c>
      <c r="D958" t="s">
        <v>38</v>
      </c>
      <c r="E958" t="s">
        <v>44</v>
      </c>
      <c r="F958" t="s">
        <v>17</v>
      </c>
      <c r="G958">
        <v>5</v>
      </c>
      <c r="H958">
        <v>15.99</v>
      </c>
      <c r="J958" t="s">
        <v>57</v>
      </c>
      <c r="K958" t="s">
        <v>50</v>
      </c>
      <c r="L958" t="s">
        <v>46</v>
      </c>
    </row>
    <row r="959" spans="1:12" x14ac:dyDescent="0.25">
      <c r="A959">
        <v>1957</v>
      </c>
      <c r="B959" t="s">
        <v>355</v>
      </c>
      <c r="C959" t="s">
        <v>23</v>
      </c>
      <c r="D959" t="s">
        <v>152</v>
      </c>
      <c r="E959" t="s">
        <v>92</v>
      </c>
      <c r="F959" t="s">
        <v>26</v>
      </c>
      <c r="G959">
        <v>5</v>
      </c>
      <c r="H959" t="s">
        <v>56</v>
      </c>
      <c r="J959" t="s">
        <v>62</v>
      </c>
      <c r="K959" t="s">
        <v>34</v>
      </c>
      <c r="L959" t="s">
        <v>40</v>
      </c>
    </row>
    <row r="960" spans="1:12" x14ac:dyDescent="0.25">
      <c r="B960" t="s">
        <v>650</v>
      </c>
      <c r="C960" t="s">
        <v>70</v>
      </c>
      <c r="D960" t="s">
        <v>144</v>
      </c>
      <c r="E960" t="s">
        <v>127</v>
      </c>
      <c r="F960" t="s">
        <v>73</v>
      </c>
      <c r="G960">
        <v>1</v>
      </c>
      <c r="H960" t="s">
        <v>137</v>
      </c>
      <c r="J960" t="s">
        <v>33</v>
      </c>
      <c r="K960" t="s">
        <v>34</v>
      </c>
      <c r="L960" t="s">
        <v>40</v>
      </c>
    </row>
    <row r="961" spans="1:12" x14ac:dyDescent="0.25">
      <c r="A961">
        <v>1959</v>
      </c>
      <c r="C961" t="s">
        <v>70</v>
      </c>
      <c r="D961" t="s">
        <v>71</v>
      </c>
      <c r="E961" t="s">
        <v>72</v>
      </c>
      <c r="F961" t="s">
        <v>73</v>
      </c>
      <c r="G961">
        <v>3</v>
      </c>
      <c r="H961" t="s">
        <v>108</v>
      </c>
      <c r="J961" t="s">
        <v>33</v>
      </c>
      <c r="K961" t="s">
        <v>20</v>
      </c>
      <c r="L961" t="s">
        <v>29</v>
      </c>
    </row>
    <row r="962" spans="1:12" x14ac:dyDescent="0.25">
      <c r="B962" t="s">
        <v>651</v>
      </c>
      <c r="C962" t="s">
        <v>37</v>
      </c>
      <c r="D962" t="s">
        <v>38</v>
      </c>
      <c r="E962" t="s">
        <v>52</v>
      </c>
      <c r="F962" t="s">
        <v>53</v>
      </c>
      <c r="G962">
        <v>5</v>
      </c>
      <c r="H962">
        <v>59.99</v>
      </c>
      <c r="J962" t="s">
        <v>54</v>
      </c>
      <c r="K962" t="s">
        <v>20</v>
      </c>
      <c r="L962" t="s">
        <v>40</v>
      </c>
    </row>
    <row r="963" spans="1:12" x14ac:dyDescent="0.25">
      <c r="A963">
        <v>1961</v>
      </c>
      <c r="B963" t="s">
        <v>195</v>
      </c>
      <c r="C963" t="s">
        <v>37</v>
      </c>
      <c r="D963" t="s">
        <v>169</v>
      </c>
      <c r="E963" t="s">
        <v>82</v>
      </c>
      <c r="F963" t="s">
        <v>60</v>
      </c>
      <c r="G963">
        <v>1</v>
      </c>
      <c r="H963" t="s">
        <v>61</v>
      </c>
      <c r="J963" t="s">
        <v>19</v>
      </c>
      <c r="K963" t="s">
        <v>28</v>
      </c>
      <c r="L963" t="s">
        <v>46</v>
      </c>
    </row>
    <row r="964" spans="1:12" x14ac:dyDescent="0.25">
      <c r="A964">
        <v>1962</v>
      </c>
      <c r="B964" t="s">
        <v>584</v>
      </c>
      <c r="C964" t="s">
        <v>42</v>
      </c>
      <c r="D964" t="s">
        <v>48</v>
      </c>
      <c r="E964" t="s">
        <v>39</v>
      </c>
      <c r="F964" t="s">
        <v>17</v>
      </c>
      <c r="G964">
        <v>-1</v>
      </c>
      <c r="H964" t="s">
        <v>117</v>
      </c>
      <c r="J964" t="s">
        <v>33</v>
      </c>
      <c r="K964" t="s">
        <v>50</v>
      </c>
      <c r="L964" t="s">
        <v>40</v>
      </c>
    </row>
    <row r="965" spans="1:12" x14ac:dyDescent="0.25">
      <c r="A965">
        <v>1963</v>
      </c>
      <c r="B965" t="s">
        <v>445</v>
      </c>
      <c r="C965" t="s">
        <v>65</v>
      </c>
      <c r="D965" t="s">
        <v>126</v>
      </c>
      <c r="E965" t="s">
        <v>16</v>
      </c>
      <c r="F965" t="s">
        <v>17</v>
      </c>
      <c r="G965">
        <v>-1</v>
      </c>
      <c r="H965">
        <v>15.99</v>
      </c>
      <c r="J965" t="s">
        <v>27</v>
      </c>
      <c r="K965" t="s">
        <v>34</v>
      </c>
      <c r="L965" t="s">
        <v>29</v>
      </c>
    </row>
    <row r="966" spans="1:12" x14ac:dyDescent="0.25">
      <c r="A966">
        <v>1964</v>
      </c>
      <c r="C966" t="s">
        <v>23</v>
      </c>
      <c r="D966" t="s">
        <v>81</v>
      </c>
      <c r="E966" t="s">
        <v>95</v>
      </c>
      <c r="F966" t="s">
        <v>73</v>
      </c>
      <c r="G966">
        <v>5</v>
      </c>
      <c r="H966" t="s">
        <v>137</v>
      </c>
      <c r="J966" t="s">
        <v>19</v>
      </c>
      <c r="K966" t="s">
        <v>45</v>
      </c>
      <c r="L966" t="s">
        <v>46</v>
      </c>
    </row>
    <row r="967" spans="1:12" x14ac:dyDescent="0.25">
      <c r="A967">
        <v>1965</v>
      </c>
      <c r="B967" t="s">
        <v>272</v>
      </c>
      <c r="C967" t="s">
        <v>23</v>
      </c>
      <c r="D967" t="s">
        <v>24</v>
      </c>
      <c r="E967" t="s">
        <v>39</v>
      </c>
      <c r="F967" t="s">
        <v>17</v>
      </c>
      <c r="G967">
        <v>1</v>
      </c>
      <c r="H967" t="s">
        <v>117</v>
      </c>
      <c r="J967" t="s">
        <v>54</v>
      </c>
      <c r="K967" t="s">
        <v>129</v>
      </c>
      <c r="L967" t="s">
        <v>46</v>
      </c>
    </row>
    <row r="968" spans="1:12" x14ac:dyDescent="0.25">
      <c r="A968">
        <v>1966</v>
      </c>
      <c r="B968" t="s">
        <v>412</v>
      </c>
      <c r="C968" t="s">
        <v>42</v>
      </c>
      <c r="D968" t="s">
        <v>48</v>
      </c>
      <c r="E968" t="s">
        <v>59</v>
      </c>
      <c r="F968" t="s">
        <v>60</v>
      </c>
      <c r="G968">
        <v>3</v>
      </c>
      <c r="H968">
        <v>4.99</v>
      </c>
      <c r="J968" t="s">
        <v>27</v>
      </c>
      <c r="K968" t="s">
        <v>129</v>
      </c>
      <c r="L968" t="s">
        <v>21</v>
      </c>
    </row>
    <row r="969" spans="1:12" x14ac:dyDescent="0.25">
      <c r="A969">
        <v>1967</v>
      </c>
      <c r="B969" t="s">
        <v>652</v>
      </c>
      <c r="C969" t="s">
        <v>23</v>
      </c>
      <c r="D969" t="s">
        <v>124</v>
      </c>
      <c r="E969" t="s">
        <v>72</v>
      </c>
      <c r="F969" t="s">
        <v>73</v>
      </c>
      <c r="G969">
        <v>5</v>
      </c>
      <c r="H969">
        <v>49.99</v>
      </c>
      <c r="J969" t="s">
        <v>19</v>
      </c>
      <c r="K969" t="s">
        <v>50</v>
      </c>
      <c r="L969" t="s">
        <v>21</v>
      </c>
    </row>
    <row r="970" spans="1:12" x14ac:dyDescent="0.25">
      <c r="A970">
        <v>1968</v>
      </c>
      <c r="B970" t="s">
        <v>653</v>
      </c>
      <c r="C970" t="s">
        <v>65</v>
      </c>
      <c r="D970" t="s">
        <v>123</v>
      </c>
      <c r="E970" t="s">
        <v>82</v>
      </c>
      <c r="F970" t="s">
        <v>60</v>
      </c>
      <c r="G970">
        <v>1</v>
      </c>
      <c r="H970" t="s">
        <v>61</v>
      </c>
      <c r="J970" t="s">
        <v>19</v>
      </c>
      <c r="K970" t="s">
        <v>28</v>
      </c>
      <c r="L970" t="s">
        <v>21</v>
      </c>
    </row>
    <row r="971" spans="1:12" x14ac:dyDescent="0.25">
      <c r="A971">
        <v>1969</v>
      </c>
      <c r="B971" t="s">
        <v>654</v>
      </c>
      <c r="D971" t="s">
        <v>162</v>
      </c>
      <c r="E971" t="s">
        <v>107</v>
      </c>
      <c r="F971" t="s">
        <v>73</v>
      </c>
      <c r="G971">
        <v>2</v>
      </c>
      <c r="H971" t="s">
        <v>108</v>
      </c>
      <c r="J971" t="s">
        <v>33</v>
      </c>
      <c r="K971" t="s">
        <v>28</v>
      </c>
      <c r="L971" t="s">
        <v>35</v>
      </c>
    </row>
    <row r="972" spans="1:12" x14ac:dyDescent="0.25">
      <c r="A972">
        <v>1970</v>
      </c>
      <c r="B972" t="s">
        <v>655</v>
      </c>
      <c r="C972" t="s">
        <v>14</v>
      </c>
      <c r="D972" t="s">
        <v>15</v>
      </c>
      <c r="E972" t="s">
        <v>44</v>
      </c>
      <c r="F972" t="s">
        <v>17</v>
      </c>
      <c r="G972">
        <v>-1</v>
      </c>
      <c r="H972">
        <v>15.99</v>
      </c>
      <c r="J972" t="s">
        <v>33</v>
      </c>
      <c r="K972" t="s">
        <v>28</v>
      </c>
      <c r="L972" t="s">
        <v>46</v>
      </c>
    </row>
    <row r="973" spans="1:12" x14ac:dyDescent="0.25">
      <c r="A973">
        <v>1971</v>
      </c>
      <c r="B973" t="s">
        <v>656</v>
      </c>
      <c r="C973" t="s">
        <v>14</v>
      </c>
      <c r="D973" t="s">
        <v>15</v>
      </c>
      <c r="E973" t="s">
        <v>72</v>
      </c>
      <c r="F973" t="s">
        <v>73</v>
      </c>
      <c r="G973">
        <v>-1</v>
      </c>
      <c r="H973" t="s">
        <v>108</v>
      </c>
      <c r="J973" t="s">
        <v>54</v>
      </c>
      <c r="K973" t="s">
        <v>20</v>
      </c>
      <c r="L973" t="s">
        <v>21</v>
      </c>
    </row>
    <row r="974" spans="1:12" x14ac:dyDescent="0.25">
      <c r="A974">
        <v>1972</v>
      </c>
      <c r="B974" t="s">
        <v>427</v>
      </c>
      <c r="C974" t="s">
        <v>70</v>
      </c>
      <c r="D974" t="s">
        <v>131</v>
      </c>
      <c r="E974" t="s">
        <v>52</v>
      </c>
      <c r="F974" t="s">
        <v>53</v>
      </c>
      <c r="G974">
        <v>-1</v>
      </c>
      <c r="H974" t="s">
        <v>97</v>
      </c>
      <c r="J974" t="s">
        <v>57</v>
      </c>
      <c r="K974" t="s">
        <v>68</v>
      </c>
      <c r="L974" t="s">
        <v>46</v>
      </c>
    </row>
    <row r="975" spans="1:12" x14ac:dyDescent="0.25">
      <c r="A975">
        <v>1973</v>
      </c>
      <c r="B975" t="s">
        <v>390</v>
      </c>
      <c r="C975" t="s">
        <v>23</v>
      </c>
      <c r="D975" t="s">
        <v>124</v>
      </c>
      <c r="E975" t="s">
        <v>59</v>
      </c>
      <c r="F975" t="s">
        <v>60</v>
      </c>
      <c r="G975">
        <v>3</v>
      </c>
      <c r="H975">
        <v>4.99</v>
      </c>
      <c r="J975" t="s">
        <v>57</v>
      </c>
      <c r="K975" t="s">
        <v>55</v>
      </c>
      <c r="L975" t="s">
        <v>46</v>
      </c>
    </row>
    <row r="976" spans="1:12" x14ac:dyDescent="0.25">
      <c r="A976">
        <v>1974</v>
      </c>
      <c r="B976" t="s">
        <v>657</v>
      </c>
      <c r="D976" t="s">
        <v>84</v>
      </c>
      <c r="E976" t="s">
        <v>92</v>
      </c>
      <c r="F976" t="s">
        <v>26</v>
      </c>
      <c r="H976" t="s">
        <v>56</v>
      </c>
      <c r="J976" t="s">
        <v>27</v>
      </c>
      <c r="K976" t="s">
        <v>28</v>
      </c>
      <c r="L976" t="s">
        <v>29</v>
      </c>
    </row>
    <row r="977" spans="1:13" x14ac:dyDescent="0.25">
      <c r="A977">
        <v>1975</v>
      </c>
      <c r="B977" t="s">
        <v>658</v>
      </c>
      <c r="C977" t="s">
        <v>42</v>
      </c>
      <c r="D977" t="s">
        <v>48</v>
      </c>
      <c r="E977" t="s">
        <v>72</v>
      </c>
      <c r="F977" t="s">
        <v>73</v>
      </c>
      <c r="G977">
        <v>3</v>
      </c>
      <c r="H977">
        <v>49.99</v>
      </c>
      <c r="J977" t="s">
        <v>19</v>
      </c>
      <c r="K977" t="s">
        <v>20</v>
      </c>
      <c r="L977" t="s">
        <v>21</v>
      </c>
      <c r="M977" t="s">
        <v>63</v>
      </c>
    </row>
    <row r="978" spans="1:13" x14ac:dyDescent="0.25">
      <c r="A978">
        <v>1976</v>
      </c>
      <c r="B978" t="s">
        <v>659</v>
      </c>
      <c r="C978" t="s">
        <v>37</v>
      </c>
      <c r="D978" t="s">
        <v>162</v>
      </c>
      <c r="E978" t="s">
        <v>85</v>
      </c>
      <c r="F978" t="s">
        <v>26</v>
      </c>
      <c r="H978" t="s">
        <v>86</v>
      </c>
      <c r="J978" t="s">
        <v>19</v>
      </c>
      <c r="K978" t="s">
        <v>55</v>
      </c>
      <c r="L978" t="s">
        <v>35</v>
      </c>
    </row>
    <row r="979" spans="1:13" x14ac:dyDescent="0.25">
      <c r="A979">
        <v>1977</v>
      </c>
      <c r="B979" t="s">
        <v>660</v>
      </c>
      <c r="C979" t="s">
        <v>23</v>
      </c>
      <c r="D979" t="s">
        <v>24</v>
      </c>
      <c r="E979" t="s">
        <v>92</v>
      </c>
      <c r="F979" t="s">
        <v>26</v>
      </c>
      <c r="G979">
        <v>2</v>
      </c>
      <c r="H979">
        <v>14.99</v>
      </c>
      <c r="J979" t="s">
        <v>33</v>
      </c>
      <c r="K979" t="s">
        <v>34</v>
      </c>
      <c r="L979" t="s">
        <v>29</v>
      </c>
    </row>
    <row r="980" spans="1:13" x14ac:dyDescent="0.25">
      <c r="A980">
        <v>1978</v>
      </c>
      <c r="B980" t="s">
        <v>661</v>
      </c>
      <c r="C980" t="s">
        <v>77</v>
      </c>
      <c r="D980" t="s">
        <v>78</v>
      </c>
      <c r="E980" t="s">
        <v>25</v>
      </c>
      <c r="F980" t="s">
        <v>26</v>
      </c>
      <c r="G980">
        <v>2</v>
      </c>
      <c r="H980">
        <v>99.99</v>
      </c>
      <c r="J980" t="s">
        <v>62</v>
      </c>
      <c r="K980" t="s">
        <v>129</v>
      </c>
      <c r="L980" t="s">
        <v>35</v>
      </c>
      <c r="M980" t="s">
        <v>63</v>
      </c>
    </row>
    <row r="981" spans="1:13" x14ac:dyDescent="0.25">
      <c r="A981">
        <v>1979</v>
      </c>
      <c r="B981" t="s">
        <v>662</v>
      </c>
      <c r="C981" t="s">
        <v>23</v>
      </c>
      <c r="D981" t="s">
        <v>24</v>
      </c>
      <c r="E981" t="s">
        <v>85</v>
      </c>
      <c r="F981" t="s">
        <v>26</v>
      </c>
      <c r="G981">
        <v>3</v>
      </c>
      <c r="H981">
        <v>99.99</v>
      </c>
      <c r="J981" t="s">
        <v>19</v>
      </c>
      <c r="K981" t="s">
        <v>20</v>
      </c>
      <c r="L981" t="s">
        <v>29</v>
      </c>
    </row>
    <row r="982" spans="1:13" x14ac:dyDescent="0.25">
      <c r="A982">
        <v>1980</v>
      </c>
      <c r="B982" t="s">
        <v>663</v>
      </c>
      <c r="C982" t="s">
        <v>42</v>
      </c>
      <c r="D982" t="s">
        <v>48</v>
      </c>
      <c r="E982" t="s">
        <v>82</v>
      </c>
      <c r="F982" t="s">
        <v>60</v>
      </c>
      <c r="H982" t="s">
        <v>61</v>
      </c>
      <c r="J982" t="s">
        <v>54</v>
      </c>
      <c r="K982" t="s">
        <v>20</v>
      </c>
      <c r="L982" t="s">
        <v>46</v>
      </c>
    </row>
    <row r="983" spans="1:13" x14ac:dyDescent="0.25">
      <c r="A983">
        <v>1981</v>
      </c>
      <c r="B983" t="s">
        <v>664</v>
      </c>
      <c r="C983" t="s">
        <v>77</v>
      </c>
      <c r="D983" t="s">
        <v>91</v>
      </c>
      <c r="E983" t="s">
        <v>85</v>
      </c>
      <c r="F983" t="s">
        <v>26</v>
      </c>
      <c r="G983">
        <v>1</v>
      </c>
      <c r="H983" t="s">
        <v>86</v>
      </c>
      <c r="J983" t="s">
        <v>62</v>
      </c>
      <c r="K983" t="s">
        <v>50</v>
      </c>
      <c r="L983" t="s">
        <v>40</v>
      </c>
      <c r="M983" t="s">
        <v>63</v>
      </c>
    </row>
    <row r="984" spans="1:13" x14ac:dyDescent="0.25">
      <c r="A984">
        <v>1982</v>
      </c>
      <c r="B984" t="s">
        <v>177</v>
      </c>
      <c r="C984" t="s">
        <v>77</v>
      </c>
      <c r="D984" t="s">
        <v>78</v>
      </c>
      <c r="E984" t="s">
        <v>49</v>
      </c>
      <c r="F984" t="s">
        <v>26</v>
      </c>
      <c r="H984">
        <v>14.99</v>
      </c>
      <c r="J984" t="s">
        <v>19</v>
      </c>
      <c r="K984" t="s">
        <v>34</v>
      </c>
      <c r="L984" t="s">
        <v>35</v>
      </c>
    </row>
    <row r="985" spans="1:13" x14ac:dyDescent="0.25">
      <c r="A985">
        <v>1983</v>
      </c>
      <c r="B985" t="s">
        <v>246</v>
      </c>
      <c r="C985" t="s">
        <v>70</v>
      </c>
      <c r="D985" t="s">
        <v>131</v>
      </c>
      <c r="E985" t="s">
        <v>95</v>
      </c>
      <c r="F985" t="s">
        <v>73</v>
      </c>
      <c r="G985">
        <v>4</v>
      </c>
      <c r="H985">
        <v>29.99</v>
      </c>
      <c r="J985" t="s">
        <v>57</v>
      </c>
      <c r="K985" t="s">
        <v>28</v>
      </c>
      <c r="L985" t="s">
        <v>35</v>
      </c>
    </row>
    <row r="986" spans="1:13" x14ac:dyDescent="0.25">
      <c r="A986">
        <v>1984</v>
      </c>
      <c r="B986" t="s">
        <v>418</v>
      </c>
      <c r="C986" t="s">
        <v>70</v>
      </c>
      <c r="D986" t="s">
        <v>88</v>
      </c>
      <c r="E986" t="s">
        <v>39</v>
      </c>
      <c r="F986" t="s">
        <v>17</v>
      </c>
      <c r="G986">
        <v>4</v>
      </c>
      <c r="H986">
        <v>39.99</v>
      </c>
      <c r="J986" t="s">
        <v>57</v>
      </c>
      <c r="K986" t="s">
        <v>20</v>
      </c>
      <c r="L986" t="s">
        <v>21</v>
      </c>
    </row>
    <row r="987" spans="1:13" x14ac:dyDescent="0.25">
      <c r="A987">
        <v>1985</v>
      </c>
      <c r="C987" t="s">
        <v>23</v>
      </c>
      <c r="D987" t="s">
        <v>81</v>
      </c>
      <c r="E987" t="s">
        <v>52</v>
      </c>
      <c r="F987" t="s">
        <v>53</v>
      </c>
      <c r="G987">
        <v>4</v>
      </c>
      <c r="H987">
        <v>59.99</v>
      </c>
      <c r="J987" t="s">
        <v>54</v>
      </c>
      <c r="K987" t="s">
        <v>34</v>
      </c>
      <c r="L987" t="s">
        <v>40</v>
      </c>
    </row>
    <row r="988" spans="1:13" x14ac:dyDescent="0.25">
      <c r="A988">
        <v>1986</v>
      </c>
      <c r="B988" t="s">
        <v>74</v>
      </c>
      <c r="C988" t="s">
        <v>77</v>
      </c>
      <c r="D988" t="s">
        <v>78</v>
      </c>
      <c r="E988" t="s">
        <v>89</v>
      </c>
      <c r="F988" t="s">
        <v>17</v>
      </c>
      <c r="G988">
        <v>5</v>
      </c>
      <c r="H988">
        <v>39.99</v>
      </c>
      <c r="J988" t="s">
        <v>27</v>
      </c>
      <c r="K988" t="s">
        <v>20</v>
      </c>
      <c r="L988" t="s">
        <v>35</v>
      </c>
    </row>
    <row r="989" spans="1:13" x14ac:dyDescent="0.25">
      <c r="A989">
        <v>1987</v>
      </c>
      <c r="B989" t="s">
        <v>665</v>
      </c>
      <c r="C989" t="s">
        <v>70</v>
      </c>
      <c r="D989" t="s">
        <v>131</v>
      </c>
      <c r="E989" t="s">
        <v>85</v>
      </c>
      <c r="F989" t="s">
        <v>26</v>
      </c>
      <c r="H989" t="s">
        <v>86</v>
      </c>
      <c r="J989" t="s">
        <v>54</v>
      </c>
      <c r="K989" t="s">
        <v>45</v>
      </c>
      <c r="L989" t="s">
        <v>21</v>
      </c>
    </row>
    <row r="990" spans="1:13" x14ac:dyDescent="0.25">
      <c r="A990">
        <v>1988</v>
      </c>
      <c r="B990" t="s">
        <v>362</v>
      </c>
      <c r="C990" t="s">
        <v>65</v>
      </c>
      <c r="D990" t="s">
        <v>66</v>
      </c>
      <c r="E990" t="s">
        <v>39</v>
      </c>
      <c r="F990" t="s">
        <v>17</v>
      </c>
      <c r="H990">
        <v>39.99</v>
      </c>
      <c r="J990" t="s">
        <v>19</v>
      </c>
      <c r="K990" t="s">
        <v>68</v>
      </c>
      <c r="L990" t="s">
        <v>46</v>
      </c>
    </row>
    <row r="991" spans="1:13" x14ac:dyDescent="0.25">
      <c r="A991">
        <v>1989</v>
      </c>
      <c r="C991" t="s">
        <v>42</v>
      </c>
      <c r="D991" t="s">
        <v>116</v>
      </c>
      <c r="E991" t="s">
        <v>92</v>
      </c>
      <c r="F991" t="s">
        <v>26</v>
      </c>
      <c r="G991">
        <v>-1</v>
      </c>
      <c r="H991">
        <v>14.99</v>
      </c>
      <c r="J991" t="s">
        <v>57</v>
      </c>
      <c r="K991" t="s">
        <v>68</v>
      </c>
      <c r="L991" t="s">
        <v>46</v>
      </c>
      <c r="M991" t="s">
        <v>63</v>
      </c>
    </row>
    <row r="992" spans="1:13" x14ac:dyDescent="0.25">
      <c r="A992">
        <v>1990</v>
      </c>
      <c r="B992" t="s">
        <v>666</v>
      </c>
      <c r="C992" t="s">
        <v>14</v>
      </c>
      <c r="D992" t="s">
        <v>15</v>
      </c>
      <c r="E992" t="s">
        <v>212</v>
      </c>
      <c r="F992" t="s">
        <v>53</v>
      </c>
      <c r="G992">
        <v>-1</v>
      </c>
      <c r="H992">
        <v>59.99</v>
      </c>
      <c r="J992" t="s">
        <v>62</v>
      </c>
      <c r="K992" t="s">
        <v>129</v>
      </c>
      <c r="L992" t="s">
        <v>40</v>
      </c>
    </row>
    <row r="993" spans="1:13" x14ac:dyDescent="0.25">
      <c r="A993">
        <v>1991</v>
      </c>
      <c r="B993" t="s">
        <v>387</v>
      </c>
      <c r="C993" t="s">
        <v>14</v>
      </c>
      <c r="D993" t="s">
        <v>75</v>
      </c>
      <c r="E993" t="s">
        <v>92</v>
      </c>
      <c r="F993" t="s">
        <v>26</v>
      </c>
      <c r="H993">
        <v>14.99</v>
      </c>
      <c r="J993" t="s">
        <v>62</v>
      </c>
      <c r="K993" t="s">
        <v>50</v>
      </c>
      <c r="L993" t="s">
        <v>40</v>
      </c>
    </row>
    <row r="994" spans="1:13" x14ac:dyDescent="0.25">
      <c r="A994">
        <v>1992</v>
      </c>
      <c r="B994" t="s">
        <v>550</v>
      </c>
      <c r="C994" t="s">
        <v>37</v>
      </c>
      <c r="D994" t="s">
        <v>38</v>
      </c>
      <c r="E994" t="s">
        <v>89</v>
      </c>
      <c r="F994" t="s">
        <v>17</v>
      </c>
      <c r="G994">
        <v>-1</v>
      </c>
      <c r="H994" t="s">
        <v>117</v>
      </c>
      <c r="J994" t="s">
        <v>33</v>
      </c>
      <c r="K994" t="s">
        <v>45</v>
      </c>
      <c r="L994" t="s">
        <v>21</v>
      </c>
    </row>
    <row r="995" spans="1:13" x14ac:dyDescent="0.25">
      <c r="A995">
        <v>1993</v>
      </c>
      <c r="B995" t="s">
        <v>667</v>
      </c>
      <c r="C995" t="s">
        <v>14</v>
      </c>
      <c r="D995" t="s">
        <v>84</v>
      </c>
      <c r="E995" t="s">
        <v>39</v>
      </c>
      <c r="F995" t="s">
        <v>17</v>
      </c>
      <c r="G995">
        <v>1</v>
      </c>
      <c r="H995">
        <v>39.99</v>
      </c>
      <c r="J995" t="s">
        <v>54</v>
      </c>
      <c r="K995" t="s">
        <v>55</v>
      </c>
      <c r="L995" t="s">
        <v>35</v>
      </c>
      <c r="M995" t="s">
        <v>63</v>
      </c>
    </row>
    <row r="996" spans="1:13" x14ac:dyDescent="0.25">
      <c r="A996">
        <v>1994</v>
      </c>
      <c r="B996" t="s">
        <v>668</v>
      </c>
      <c r="C996" t="s">
        <v>70</v>
      </c>
      <c r="D996" t="s">
        <v>88</v>
      </c>
      <c r="E996" t="s">
        <v>82</v>
      </c>
      <c r="F996" t="s">
        <v>60</v>
      </c>
      <c r="G996">
        <v>5</v>
      </c>
      <c r="H996" t="s">
        <v>61</v>
      </c>
      <c r="J996" t="s">
        <v>19</v>
      </c>
      <c r="K996" t="s">
        <v>50</v>
      </c>
      <c r="L996" t="s">
        <v>40</v>
      </c>
    </row>
    <row r="997" spans="1:13" x14ac:dyDescent="0.25">
      <c r="A997">
        <v>1995</v>
      </c>
      <c r="C997" t="s">
        <v>23</v>
      </c>
      <c r="D997" t="s">
        <v>124</v>
      </c>
      <c r="E997" t="s">
        <v>52</v>
      </c>
      <c r="F997" t="s">
        <v>53</v>
      </c>
      <c r="H997">
        <v>59.99</v>
      </c>
      <c r="J997" t="s">
        <v>57</v>
      </c>
      <c r="K997" t="s">
        <v>129</v>
      </c>
      <c r="L997" t="s">
        <v>46</v>
      </c>
    </row>
    <row r="998" spans="1:13" x14ac:dyDescent="0.25">
      <c r="A998">
        <v>1996</v>
      </c>
      <c r="B998" t="s">
        <v>669</v>
      </c>
      <c r="C998" t="s">
        <v>14</v>
      </c>
      <c r="D998" t="s">
        <v>15</v>
      </c>
      <c r="E998" t="s">
        <v>31</v>
      </c>
      <c r="F998" t="s">
        <v>32</v>
      </c>
      <c r="G998">
        <v>2</v>
      </c>
      <c r="H998" t="s">
        <v>125</v>
      </c>
      <c r="J998" t="s">
        <v>33</v>
      </c>
      <c r="K998" t="s">
        <v>20</v>
      </c>
      <c r="L998" t="s">
        <v>29</v>
      </c>
    </row>
    <row r="999" spans="1:13" x14ac:dyDescent="0.25">
      <c r="A999">
        <v>1997</v>
      </c>
      <c r="B999" t="s">
        <v>366</v>
      </c>
      <c r="C999" t="s">
        <v>70</v>
      </c>
      <c r="D999" t="s">
        <v>131</v>
      </c>
      <c r="E999" t="s">
        <v>92</v>
      </c>
      <c r="F999" t="s">
        <v>26</v>
      </c>
      <c r="G999">
        <v>5</v>
      </c>
      <c r="H999" t="s">
        <v>56</v>
      </c>
      <c r="J999" t="s">
        <v>33</v>
      </c>
      <c r="K999" t="s">
        <v>34</v>
      </c>
      <c r="L999" t="s">
        <v>29</v>
      </c>
    </row>
    <row r="1000" spans="1:13" x14ac:dyDescent="0.25">
      <c r="A1000">
        <v>1998</v>
      </c>
      <c r="B1000" t="s">
        <v>670</v>
      </c>
      <c r="C1000" t="s">
        <v>23</v>
      </c>
      <c r="D1000" t="s">
        <v>81</v>
      </c>
      <c r="E1000" t="s">
        <v>49</v>
      </c>
      <c r="F1000" t="s">
        <v>26</v>
      </c>
      <c r="G1000">
        <v>5</v>
      </c>
      <c r="H1000" t="s">
        <v>56</v>
      </c>
      <c r="J1000" t="s">
        <v>33</v>
      </c>
      <c r="K1000" t="s">
        <v>45</v>
      </c>
      <c r="L1000" t="s">
        <v>46</v>
      </c>
    </row>
    <row r="1001" spans="1:13" x14ac:dyDescent="0.25">
      <c r="A1001">
        <v>1999</v>
      </c>
      <c r="B1001" t="s">
        <v>671</v>
      </c>
      <c r="C1001" t="s">
        <v>23</v>
      </c>
      <c r="D1001" t="s">
        <v>124</v>
      </c>
      <c r="E1001" t="s">
        <v>52</v>
      </c>
      <c r="F1001" t="s">
        <v>53</v>
      </c>
      <c r="G1001">
        <v>3</v>
      </c>
      <c r="H1001">
        <v>59.99</v>
      </c>
      <c r="J1001" t="s">
        <v>27</v>
      </c>
      <c r="K1001" t="s">
        <v>129</v>
      </c>
      <c r="L1001" t="s">
        <v>40</v>
      </c>
    </row>
    <row r="1002" spans="1:13" x14ac:dyDescent="0.25">
      <c r="A1002">
        <v>2000</v>
      </c>
      <c r="C1002" t="s">
        <v>42</v>
      </c>
      <c r="D1002" t="s">
        <v>106</v>
      </c>
      <c r="E1002" t="s">
        <v>44</v>
      </c>
      <c r="F1002" t="s">
        <v>17</v>
      </c>
      <c r="G1002">
        <v>5</v>
      </c>
      <c r="H1002" t="s">
        <v>18</v>
      </c>
      <c r="J1002" t="s">
        <v>54</v>
      </c>
      <c r="K1002" t="s">
        <v>55</v>
      </c>
      <c r="L1002" t="s">
        <v>40</v>
      </c>
    </row>
    <row r="1003" spans="1:13" x14ac:dyDescent="0.25">
      <c r="A1003">
        <v>2001</v>
      </c>
      <c r="C1003" t="s">
        <v>77</v>
      </c>
      <c r="E1003" t="s">
        <v>95</v>
      </c>
      <c r="F1003" t="s">
        <v>73</v>
      </c>
      <c r="H1003">
        <v>29.99</v>
      </c>
      <c r="J1003" t="s">
        <v>62</v>
      </c>
      <c r="K1003" t="s">
        <v>45</v>
      </c>
      <c r="L1003" t="s">
        <v>21</v>
      </c>
    </row>
    <row r="1004" spans="1:13" x14ac:dyDescent="0.25">
      <c r="A1004">
        <v>2002</v>
      </c>
      <c r="B1004" t="s">
        <v>672</v>
      </c>
      <c r="C1004" t="s">
        <v>37</v>
      </c>
      <c r="D1004" t="s">
        <v>38</v>
      </c>
      <c r="E1004" t="s">
        <v>85</v>
      </c>
      <c r="F1004" t="s">
        <v>26</v>
      </c>
      <c r="H1004">
        <v>99.99</v>
      </c>
      <c r="J1004" t="s">
        <v>19</v>
      </c>
      <c r="K1004" t="s">
        <v>34</v>
      </c>
      <c r="L1004" t="s">
        <v>35</v>
      </c>
    </row>
    <row r="1005" spans="1:13" x14ac:dyDescent="0.25">
      <c r="A1005">
        <v>2003</v>
      </c>
      <c r="B1005" t="s">
        <v>673</v>
      </c>
      <c r="D1005" t="s">
        <v>48</v>
      </c>
      <c r="E1005" t="s">
        <v>72</v>
      </c>
      <c r="F1005" t="s">
        <v>73</v>
      </c>
      <c r="H1005" t="s">
        <v>108</v>
      </c>
      <c r="J1005" t="s">
        <v>27</v>
      </c>
      <c r="K1005" t="s">
        <v>28</v>
      </c>
      <c r="L1005" t="s">
        <v>29</v>
      </c>
    </row>
    <row r="1006" spans="1:13" x14ac:dyDescent="0.25">
      <c r="A1006">
        <v>2004</v>
      </c>
      <c r="B1006" t="s">
        <v>470</v>
      </c>
      <c r="C1006" t="s">
        <v>14</v>
      </c>
      <c r="D1006" t="s">
        <v>15</v>
      </c>
      <c r="E1006" t="s">
        <v>82</v>
      </c>
      <c r="F1006" t="s">
        <v>60</v>
      </c>
      <c r="G1006">
        <v>2</v>
      </c>
      <c r="H1006" t="s">
        <v>61</v>
      </c>
      <c r="J1006" t="s">
        <v>27</v>
      </c>
      <c r="K1006" t="s">
        <v>55</v>
      </c>
      <c r="L1006" t="s">
        <v>21</v>
      </c>
    </row>
    <row r="1007" spans="1:13" x14ac:dyDescent="0.25">
      <c r="A1007">
        <v>2005</v>
      </c>
      <c r="B1007" t="s">
        <v>674</v>
      </c>
      <c r="D1007" t="s">
        <v>84</v>
      </c>
      <c r="E1007" t="s">
        <v>82</v>
      </c>
      <c r="F1007" t="s">
        <v>60</v>
      </c>
      <c r="H1007" t="s">
        <v>61</v>
      </c>
      <c r="J1007" t="s">
        <v>54</v>
      </c>
      <c r="K1007" t="s">
        <v>28</v>
      </c>
      <c r="L1007" t="s">
        <v>21</v>
      </c>
    </row>
    <row r="1008" spans="1:13" x14ac:dyDescent="0.25">
      <c r="A1008">
        <v>2006</v>
      </c>
      <c r="C1008" t="s">
        <v>70</v>
      </c>
      <c r="D1008" t="s">
        <v>306</v>
      </c>
      <c r="E1008" t="s">
        <v>52</v>
      </c>
      <c r="F1008" t="s">
        <v>53</v>
      </c>
      <c r="G1008">
        <v>4</v>
      </c>
      <c r="H1008">
        <v>59.99</v>
      </c>
      <c r="J1008" t="s">
        <v>54</v>
      </c>
      <c r="K1008" t="s">
        <v>20</v>
      </c>
      <c r="L1008" t="s">
        <v>46</v>
      </c>
    </row>
    <row r="1009" spans="1:12" x14ac:dyDescent="0.25">
      <c r="A1009">
        <v>2007</v>
      </c>
      <c r="C1009" t="s">
        <v>37</v>
      </c>
      <c r="D1009" t="s">
        <v>38</v>
      </c>
      <c r="E1009" t="s">
        <v>16</v>
      </c>
      <c r="F1009" t="s">
        <v>17</v>
      </c>
      <c r="G1009">
        <v>5</v>
      </c>
      <c r="H1009">
        <v>15.99</v>
      </c>
      <c r="J1009" t="s">
        <v>62</v>
      </c>
      <c r="K1009" t="s">
        <v>129</v>
      </c>
      <c r="L1009" t="s">
        <v>21</v>
      </c>
    </row>
    <row r="1010" spans="1:12" x14ac:dyDescent="0.25">
      <c r="A1010">
        <v>2008</v>
      </c>
      <c r="B1010" t="s">
        <v>675</v>
      </c>
      <c r="C1010" t="s">
        <v>42</v>
      </c>
      <c r="D1010" t="s">
        <v>48</v>
      </c>
      <c r="E1010" t="s">
        <v>52</v>
      </c>
      <c r="F1010" t="s">
        <v>53</v>
      </c>
      <c r="G1010">
        <v>2</v>
      </c>
      <c r="H1010">
        <v>59.99</v>
      </c>
      <c r="J1010" t="s">
        <v>57</v>
      </c>
      <c r="K1010" t="s">
        <v>34</v>
      </c>
      <c r="L1010" t="s">
        <v>29</v>
      </c>
    </row>
    <row r="1011" spans="1:12" x14ac:dyDescent="0.25">
      <c r="A1011">
        <v>2009</v>
      </c>
      <c r="B1011" t="s">
        <v>302</v>
      </c>
      <c r="C1011" t="s">
        <v>23</v>
      </c>
      <c r="D1011" t="s">
        <v>24</v>
      </c>
      <c r="E1011" t="s">
        <v>39</v>
      </c>
      <c r="F1011" t="s">
        <v>17</v>
      </c>
      <c r="H1011">
        <v>39.99</v>
      </c>
      <c r="J1011" t="s">
        <v>54</v>
      </c>
      <c r="K1011" t="s">
        <v>20</v>
      </c>
      <c r="L1011" t="s">
        <v>29</v>
      </c>
    </row>
    <row r="1012" spans="1:12" x14ac:dyDescent="0.25">
      <c r="A1012">
        <v>2010</v>
      </c>
      <c r="B1012" t="s">
        <v>222</v>
      </c>
      <c r="C1012" t="s">
        <v>14</v>
      </c>
      <c r="D1012" t="s">
        <v>75</v>
      </c>
      <c r="E1012" t="s">
        <v>82</v>
      </c>
      <c r="F1012" t="s">
        <v>60</v>
      </c>
      <c r="G1012">
        <v>-1</v>
      </c>
      <c r="H1012" t="s">
        <v>61</v>
      </c>
      <c r="J1012" t="s">
        <v>62</v>
      </c>
      <c r="K1012" t="s">
        <v>68</v>
      </c>
      <c r="L1012" t="s">
        <v>35</v>
      </c>
    </row>
    <row r="1013" spans="1:12" x14ac:dyDescent="0.25">
      <c r="A1013">
        <v>2011</v>
      </c>
      <c r="C1013" t="s">
        <v>37</v>
      </c>
      <c r="D1013" t="s">
        <v>38</v>
      </c>
      <c r="E1013" t="s">
        <v>82</v>
      </c>
      <c r="F1013" t="s">
        <v>60</v>
      </c>
      <c r="G1013">
        <v>-1</v>
      </c>
      <c r="H1013">
        <v>4.99</v>
      </c>
      <c r="J1013" t="s">
        <v>62</v>
      </c>
      <c r="K1013" t="s">
        <v>45</v>
      </c>
      <c r="L1013" t="s">
        <v>46</v>
      </c>
    </row>
    <row r="1014" spans="1:12" x14ac:dyDescent="0.25">
      <c r="A1014">
        <v>2012</v>
      </c>
      <c r="B1014" t="s">
        <v>676</v>
      </c>
      <c r="C1014" t="s">
        <v>37</v>
      </c>
      <c r="D1014" t="s">
        <v>38</v>
      </c>
      <c r="E1014" t="s">
        <v>44</v>
      </c>
      <c r="F1014" t="s">
        <v>17</v>
      </c>
      <c r="G1014">
        <v>5</v>
      </c>
      <c r="H1014" t="s">
        <v>18</v>
      </c>
      <c r="J1014" t="s">
        <v>57</v>
      </c>
      <c r="K1014" t="s">
        <v>34</v>
      </c>
      <c r="L1014" t="s">
        <v>46</v>
      </c>
    </row>
    <row r="1015" spans="1:12" x14ac:dyDescent="0.25">
      <c r="A1015">
        <v>2013</v>
      </c>
      <c r="B1015" t="s">
        <v>677</v>
      </c>
      <c r="C1015" t="s">
        <v>23</v>
      </c>
      <c r="D1015" t="s">
        <v>505</v>
      </c>
      <c r="E1015" t="s">
        <v>107</v>
      </c>
      <c r="F1015" t="s">
        <v>73</v>
      </c>
      <c r="G1015">
        <v>-1</v>
      </c>
      <c r="H1015">
        <v>49.99</v>
      </c>
      <c r="J1015" t="s">
        <v>33</v>
      </c>
      <c r="K1015" t="s">
        <v>129</v>
      </c>
      <c r="L1015" t="s">
        <v>21</v>
      </c>
    </row>
    <row r="1016" spans="1:12" x14ac:dyDescent="0.25">
      <c r="A1016">
        <v>2014</v>
      </c>
      <c r="B1016" t="s">
        <v>678</v>
      </c>
      <c r="C1016" t="s">
        <v>70</v>
      </c>
      <c r="D1016" t="s">
        <v>71</v>
      </c>
      <c r="E1016" t="s">
        <v>127</v>
      </c>
      <c r="F1016" t="s">
        <v>73</v>
      </c>
      <c r="H1016" t="s">
        <v>137</v>
      </c>
      <c r="J1016" t="s">
        <v>33</v>
      </c>
      <c r="K1016" t="s">
        <v>34</v>
      </c>
      <c r="L1016" t="s">
        <v>35</v>
      </c>
    </row>
    <row r="1017" spans="1:12" x14ac:dyDescent="0.25">
      <c r="A1017">
        <v>2015</v>
      </c>
      <c r="B1017" t="s">
        <v>679</v>
      </c>
      <c r="C1017" t="s">
        <v>14</v>
      </c>
      <c r="D1017" t="s">
        <v>75</v>
      </c>
      <c r="E1017" t="s">
        <v>31</v>
      </c>
      <c r="F1017" t="s">
        <v>32</v>
      </c>
      <c r="G1017">
        <v>3</v>
      </c>
      <c r="H1017">
        <v>79.989999999999995</v>
      </c>
      <c r="J1017" t="s">
        <v>54</v>
      </c>
      <c r="K1017" t="s">
        <v>68</v>
      </c>
      <c r="L1017" t="s">
        <v>35</v>
      </c>
    </row>
    <row r="1018" spans="1:12" x14ac:dyDescent="0.25">
      <c r="A1018">
        <v>2016</v>
      </c>
      <c r="B1018" t="s">
        <v>680</v>
      </c>
      <c r="C1018" t="s">
        <v>37</v>
      </c>
      <c r="D1018" t="s">
        <v>169</v>
      </c>
      <c r="E1018" t="s">
        <v>82</v>
      </c>
      <c r="F1018" t="s">
        <v>60</v>
      </c>
      <c r="G1018">
        <v>-1</v>
      </c>
      <c r="H1018" t="s">
        <v>61</v>
      </c>
      <c r="J1018" t="s">
        <v>62</v>
      </c>
      <c r="K1018" t="s">
        <v>50</v>
      </c>
      <c r="L1018" t="s">
        <v>46</v>
      </c>
    </row>
    <row r="1019" spans="1:12" x14ac:dyDescent="0.25">
      <c r="A1019">
        <v>2017</v>
      </c>
      <c r="B1019" t="s">
        <v>681</v>
      </c>
      <c r="C1019" t="s">
        <v>42</v>
      </c>
      <c r="D1019" t="s">
        <v>116</v>
      </c>
      <c r="E1019" t="s">
        <v>44</v>
      </c>
      <c r="F1019" t="s">
        <v>17</v>
      </c>
      <c r="G1019">
        <v>2</v>
      </c>
      <c r="H1019">
        <v>15.99</v>
      </c>
      <c r="J1019" t="s">
        <v>27</v>
      </c>
      <c r="K1019" t="s">
        <v>45</v>
      </c>
      <c r="L1019" t="s">
        <v>46</v>
      </c>
    </row>
    <row r="1020" spans="1:12" x14ac:dyDescent="0.25">
      <c r="A1020">
        <v>2018</v>
      </c>
      <c r="B1020" t="s">
        <v>682</v>
      </c>
      <c r="D1020" t="s">
        <v>131</v>
      </c>
      <c r="E1020" t="s">
        <v>89</v>
      </c>
      <c r="F1020" t="s">
        <v>17</v>
      </c>
      <c r="G1020">
        <v>-1</v>
      </c>
      <c r="H1020">
        <v>39.99</v>
      </c>
      <c r="J1020" t="s">
        <v>19</v>
      </c>
      <c r="K1020" t="s">
        <v>68</v>
      </c>
      <c r="L1020" t="s">
        <v>40</v>
      </c>
    </row>
    <row r="1021" spans="1:12" x14ac:dyDescent="0.25">
      <c r="A1021">
        <v>2019</v>
      </c>
      <c r="B1021" t="s">
        <v>683</v>
      </c>
      <c r="C1021" t="s">
        <v>23</v>
      </c>
      <c r="D1021" t="s">
        <v>24</v>
      </c>
      <c r="E1021" t="s">
        <v>59</v>
      </c>
      <c r="F1021" t="s">
        <v>60</v>
      </c>
      <c r="G1021">
        <v>-1</v>
      </c>
      <c r="H1021">
        <v>4.99</v>
      </c>
      <c r="J1021" t="s">
        <v>19</v>
      </c>
      <c r="K1021" t="s">
        <v>129</v>
      </c>
      <c r="L1021" t="s">
        <v>21</v>
      </c>
    </row>
    <row r="1022" spans="1:12" x14ac:dyDescent="0.25">
      <c r="A1022">
        <v>2020</v>
      </c>
      <c r="B1022" t="s">
        <v>41</v>
      </c>
      <c r="D1022" t="s">
        <v>75</v>
      </c>
      <c r="E1022" t="s">
        <v>52</v>
      </c>
      <c r="F1022" t="s">
        <v>53</v>
      </c>
      <c r="G1022">
        <v>5</v>
      </c>
      <c r="H1022">
        <v>59.99</v>
      </c>
      <c r="J1022" t="s">
        <v>57</v>
      </c>
      <c r="K1022" t="s">
        <v>129</v>
      </c>
      <c r="L1022" t="s">
        <v>35</v>
      </c>
    </row>
    <row r="1023" spans="1:12" x14ac:dyDescent="0.25">
      <c r="A1023">
        <v>2021</v>
      </c>
      <c r="B1023" t="s">
        <v>251</v>
      </c>
      <c r="C1023" t="s">
        <v>23</v>
      </c>
      <c r="D1023" t="s">
        <v>81</v>
      </c>
      <c r="E1023" t="s">
        <v>212</v>
      </c>
      <c r="F1023" t="s">
        <v>53</v>
      </c>
      <c r="G1023">
        <v>4</v>
      </c>
      <c r="H1023">
        <v>59.99</v>
      </c>
      <c r="J1023" t="s">
        <v>27</v>
      </c>
      <c r="K1023" t="s">
        <v>45</v>
      </c>
      <c r="L1023" t="s">
        <v>35</v>
      </c>
    </row>
    <row r="1024" spans="1:12" x14ac:dyDescent="0.25">
      <c r="A1024">
        <v>2022</v>
      </c>
      <c r="B1024" t="s">
        <v>684</v>
      </c>
      <c r="C1024" t="s">
        <v>23</v>
      </c>
      <c r="D1024" t="s">
        <v>124</v>
      </c>
      <c r="E1024" t="s">
        <v>127</v>
      </c>
      <c r="F1024" t="s">
        <v>73</v>
      </c>
      <c r="G1024">
        <v>-1</v>
      </c>
      <c r="H1024" t="s">
        <v>137</v>
      </c>
      <c r="J1024" t="s">
        <v>19</v>
      </c>
      <c r="K1024" t="s">
        <v>50</v>
      </c>
      <c r="L1024" t="s">
        <v>21</v>
      </c>
    </row>
    <row r="1025" spans="1:13" x14ac:dyDescent="0.25">
      <c r="A1025">
        <v>2023</v>
      </c>
      <c r="B1025" t="s">
        <v>685</v>
      </c>
      <c r="C1025" t="s">
        <v>37</v>
      </c>
      <c r="D1025" t="s">
        <v>38</v>
      </c>
      <c r="E1025" t="s">
        <v>52</v>
      </c>
      <c r="F1025" t="s">
        <v>53</v>
      </c>
      <c r="G1025">
        <v>2</v>
      </c>
      <c r="H1025">
        <v>59.99</v>
      </c>
      <c r="J1025" t="s">
        <v>62</v>
      </c>
      <c r="K1025" t="s">
        <v>50</v>
      </c>
      <c r="L1025" t="s">
        <v>40</v>
      </c>
    </row>
    <row r="1026" spans="1:13" x14ac:dyDescent="0.25">
      <c r="A1026">
        <v>2024</v>
      </c>
      <c r="B1026" t="s">
        <v>686</v>
      </c>
      <c r="C1026" t="s">
        <v>65</v>
      </c>
      <c r="E1026" t="s">
        <v>44</v>
      </c>
      <c r="F1026" t="s">
        <v>17</v>
      </c>
      <c r="H1026">
        <v>15.99</v>
      </c>
      <c r="J1026" t="s">
        <v>33</v>
      </c>
      <c r="K1026" t="s">
        <v>129</v>
      </c>
      <c r="L1026" t="s">
        <v>40</v>
      </c>
    </row>
    <row r="1027" spans="1:13" x14ac:dyDescent="0.25">
      <c r="A1027">
        <v>2025</v>
      </c>
      <c r="B1027" t="s">
        <v>687</v>
      </c>
      <c r="C1027" t="s">
        <v>77</v>
      </c>
      <c r="D1027" t="s">
        <v>114</v>
      </c>
      <c r="E1027" t="s">
        <v>92</v>
      </c>
      <c r="F1027" t="s">
        <v>26</v>
      </c>
      <c r="H1027">
        <v>14.99</v>
      </c>
      <c r="J1027" t="s">
        <v>27</v>
      </c>
      <c r="K1027" t="s">
        <v>45</v>
      </c>
      <c r="L1027" t="s">
        <v>40</v>
      </c>
    </row>
    <row r="1028" spans="1:13" x14ac:dyDescent="0.25">
      <c r="A1028">
        <v>2026</v>
      </c>
      <c r="C1028" t="s">
        <v>65</v>
      </c>
      <c r="D1028" t="s">
        <v>133</v>
      </c>
      <c r="E1028" t="s">
        <v>92</v>
      </c>
      <c r="F1028" t="s">
        <v>26</v>
      </c>
      <c r="G1028">
        <v>4</v>
      </c>
      <c r="H1028">
        <v>14.99</v>
      </c>
      <c r="J1028" t="s">
        <v>62</v>
      </c>
      <c r="K1028" t="s">
        <v>129</v>
      </c>
      <c r="L1028" t="s">
        <v>46</v>
      </c>
    </row>
    <row r="1029" spans="1:13" x14ac:dyDescent="0.25">
      <c r="A1029">
        <v>2027</v>
      </c>
      <c r="B1029" t="s">
        <v>332</v>
      </c>
      <c r="C1029" t="s">
        <v>14</v>
      </c>
      <c r="D1029" t="s">
        <v>15</v>
      </c>
      <c r="E1029" t="s">
        <v>52</v>
      </c>
      <c r="F1029" t="s">
        <v>53</v>
      </c>
      <c r="G1029">
        <v>-1</v>
      </c>
      <c r="H1029">
        <v>59.99</v>
      </c>
      <c r="J1029" t="s">
        <v>54</v>
      </c>
      <c r="K1029" t="s">
        <v>68</v>
      </c>
      <c r="L1029" t="s">
        <v>46</v>
      </c>
    </row>
    <row r="1030" spans="1:13" x14ac:dyDescent="0.25">
      <c r="A1030">
        <v>2028</v>
      </c>
      <c r="B1030" t="s">
        <v>688</v>
      </c>
      <c r="C1030" t="s">
        <v>37</v>
      </c>
      <c r="D1030" t="s">
        <v>38</v>
      </c>
      <c r="E1030" t="s">
        <v>39</v>
      </c>
      <c r="F1030" t="s">
        <v>17</v>
      </c>
      <c r="G1030">
        <v>3</v>
      </c>
      <c r="H1030">
        <v>39.99</v>
      </c>
      <c r="J1030" t="s">
        <v>27</v>
      </c>
      <c r="K1030" t="s">
        <v>129</v>
      </c>
      <c r="L1030" t="s">
        <v>40</v>
      </c>
    </row>
    <row r="1031" spans="1:13" x14ac:dyDescent="0.25">
      <c r="A1031">
        <v>2029</v>
      </c>
      <c r="C1031" t="s">
        <v>77</v>
      </c>
      <c r="D1031" t="s">
        <v>78</v>
      </c>
      <c r="E1031" t="s">
        <v>127</v>
      </c>
      <c r="F1031" t="s">
        <v>73</v>
      </c>
      <c r="G1031">
        <v>3</v>
      </c>
      <c r="H1031">
        <v>29.99</v>
      </c>
      <c r="J1031" t="s">
        <v>62</v>
      </c>
      <c r="K1031" t="s">
        <v>28</v>
      </c>
      <c r="L1031" t="s">
        <v>35</v>
      </c>
      <c r="M1031" t="s">
        <v>63</v>
      </c>
    </row>
    <row r="1032" spans="1:13" x14ac:dyDescent="0.25">
      <c r="A1032">
        <v>2030</v>
      </c>
      <c r="B1032" t="s">
        <v>590</v>
      </c>
      <c r="C1032" t="s">
        <v>23</v>
      </c>
      <c r="D1032" t="s">
        <v>124</v>
      </c>
      <c r="E1032" t="s">
        <v>31</v>
      </c>
      <c r="F1032" t="s">
        <v>32</v>
      </c>
      <c r="G1032">
        <v>4</v>
      </c>
      <c r="H1032">
        <v>79.989999999999995</v>
      </c>
      <c r="J1032" t="s">
        <v>19</v>
      </c>
      <c r="K1032" t="s">
        <v>34</v>
      </c>
      <c r="L1032" t="s">
        <v>29</v>
      </c>
    </row>
    <row r="1033" spans="1:13" x14ac:dyDescent="0.25">
      <c r="A1033">
        <v>2031</v>
      </c>
      <c r="B1033" t="s">
        <v>689</v>
      </c>
      <c r="C1033" t="s">
        <v>77</v>
      </c>
      <c r="D1033" t="s">
        <v>78</v>
      </c>
      <c r="E1033" t="s">
        <v>72</v>
      </c>
      <c r="F1033" t="s">
        <v>73</v>
      </c>
      <c r="G1033">
        <v>2</v>
      </c>
      <c r="H1033">
        <v>49.99</v>
      </c>
      <c r="J1033" t="s">
        <v>19</v>
      </c>
      <c r="K1033" t="s">
        <v>20</v>
      </c>
      <c r="L1033" t="s">
        <v>21</v>
      </c>
    </row>
    <row r="1034" spans="1:13" x14ac:dyDescent="0.25">
      <c r="A1034">
        <v>2032</v>
      </c>
      <c r="C1034" t="s">
        <v>77</v>
      </c>
      <c r="D1034" t="s">
        <v>91</v>
      </c>
      <c r="E1034" t="s">
        <v>85</v>
      </c>
      <c r="F1034" t="s">
        <v>26</v>
      </c>
      <c r="G1034">
        <v>2</v>
      </c>
      <c r="H1034" t="s">
        <v>86</v>
      </c>
      <c r="J1034" t="s">
        <v>27</v>
      </c>
      <c r="K1034" t="s">
        <v>129</v>
      </c>
      <c r="L1034" t="s">
        <v>40</v>
      </c>
    </row>
    <row r="1035" spans="1:13" x14ac:dyDescent="0.25">
      <c r="A1035">
        <v>2033</v>
      </c>
      <c r="B1035" t="s">
        <v>329</v>
      </c>
      <c r="C1035" t="s">
        <v>23</v>
      </c>
      <c r="D1035" t="s">
        <v>124</v>
      </c>
      <c r="E1035" t="s">
        <v>82</v>
      </c>
      <c r="F1035" t="s">
        <v>60</v>
      </c>
      <c r="G1035">
        <v>1</v>
      </c>
      <c r="H1035">
        <v>4.99</v>
      </c>
      <c r="J1035" t="s">
        <v>57</v>
      </c>
      <c r="K1035" t="s">
        <v>50</v>
      </c>
      <c r="L1035" t="s">
        <v>40</v>
      </c>
    </row>
    <row r="1036" spans="1:13" x14ac:dyDescent="0.25">
      <c r="A1036">
        <v>2034</v>
      </c>
      <c r="B1036" t="s">
        <v>498</v>
      </c>
      <c r="C1036" t="s">
        <v>42</v>
      </c>
      <c r="D1036" t="s">
        <v>116</v>
      </c>
      <c r="E1036" t="s">
        <v>92</v>
      </c>
      <c r="F1036" t="s">
        <v>26</v>
      </c>
      <c r="H1036" t="s">
        <v>56</v>
      </c>
      <c r="J1036" t="s">
        <v>62</v>
      </c>
      <c r="K1036" t="s">
        <v>28</v>
      </c>
      <c r="L1036" t="s">
        <v>46</v>
      </c>
    </row>
    <row r="1037" spans="1:13" x14ac:dyDescent="0.25">
      <c r="A1037">
        <v>2035</v>
      </c>
      <c r="B1037" t="s">
        <v>690</v>
      </c>
      <c r="C1037" t="s">
        <v>23</v>
      </c>
      <c r="D1037" t="s">
        <v>124</v>
      </c>
      <c r="E1037" t="s">
        <v>52</v>
      </c>
      <c r="F1037" t="s">
        <v>53</v>
      </c>
      <c r="H1037">
        <v>59.99</v>
      </c>
      <c r="J1037" t="s">
        <v>62</v>
      </c>
      <c r="K1037" t="s">
        <v>45</v>
      </c>
      <c r="L1037" t="s">
        <v>46</v>
      </c>
    </row>
    <row r="1038" spans="1:13" x14ac:dyDescent="0.25">
      <c r="A1038">
        <v>2036</v>
      </c>
      <c r="B1038" t="s">
        <v>572</v>
      </c>
      <c r="C1038" t="s">
        <v>65</v>
      </c>
      <c r="D1038" t="s">
        <v>126</v>
      </c>
      <c r="E1038" t="s">
        <v>82</v>
      </c>
      <c r="F1038" t="s">
        <v>60</v>
      </c>
      <c r="H1038">
        <v>4.99</v>
      </c>
      <c r="J1038" t="s">
        <v>62</v>
      </c>
      <c r="K1038" t="s">
        <v>55</v>
      </c>
      <c r="L1038" t="s">
        <v>40</v>
      </c>
    </row>
    <row r="1039" spans="1:13" x14ac:dyDescent="0.25">
      <c r="A1039">
        <v>2037</v>
      </c>
      <c r="B1039" t="s">
        <v>664</v>
      </c>
      <c r="C1039" t="s">
        <v>65</v>
      </c>
      <c r="D1039" t="s">
        <v>126</v>
      </c>
      <c r="E1039" t="s">
        <v>92</v>
      </c>
      <c r="F1039" t="s">
        <v>26</v>
      </c>
      <c r="H1039">
        <v>14.99</v>
      </c>
      <c r="J1039" t="s">
        <v>54</v>
      </c>
      <c r="K1039" t="s">
        <v>34</v>
      </c>
      <c r="L1039" t="s">
        <v>40</v>
      </c>
    </row>
    <row r="1040" spans="1:13" x14ac:dyDescent="0.25">
      <c r="A1040">
        <v>2038</v>
      </c>
      <c r="B1040" t="s">
        <v>685</v>
      </c>
      <c r="C1040" t="s">
        <v>14</v>
      </c>
      <c r="D1040" t="s">
        <v>84</v>
      </c>
      <c r="E1040" t="s">
        <v>31</v>
      </c>
      <c r="F1040" t="s">
        <v>32</v>
      </c>
      <c r="H1040" t="s">
        <v>125</v>
      </c>
      <c r="J1040" t="s">
        <v>54</v>
      </c>
      <c r="K1040" t="s">
        <v>34</v>
      </c>
      <c r="L1040" t="s">
        <v>40</v>
      </c>
    </row>
    <row r="1041" spans="1:13" x14ac:dyDescent="0.25">
      <c r="A1041">
        <v>2039</v>
      </c>
      <c r="B1041" t="s">
        <v>691</v>
      </c>
      <c r="C1041" t="s">
        <v>77</v>
      </c>
      <c r="D1041" t="s">
        <v>78</v>
      </c>
      <c r="E1041" t="s">
        <v>25</v>
      </c>
      <c r="F1041" t="s">
        <v>26</v>
      </c>
      <c r="G1041">
        <v>3</v>
      </c>
      <c r="H1041" t="s">
        <v>86</v>
      </c>
      <c r="J1041" t="s">
        <v>19</v>
      </c>
      <c r="K1041" t="s">
        <v>34</v>
      </c>
      <c r="L1041" t="s">
        <v>29</v>
      </c>
    </row>
    <row r="1042" spans="1:13" x14ac:dyDescent="0.25">
      <c r="A1042">
        <v>2040</v>
      </c>
      <c r="B1042" t="s">
        <v>520</v>
      </c>
      <c r="C1042" t="s">
        <v>65</v>
      </c>
      <c r="D1042" t="s">
        <v>66</v>
      </c>
      <c r="E1042" t="s">
        <v>52</v>
      </c>
      <c r="F1042" t="s">
        <v>53</v>
      </c>
      <c r="G1042">
        <v>4</v>
      </c>
      <c r="H1042">
        <v>59.99</v>
      </c>
      <c r="J1042" t="s">
        <v>54</v>
      </c>
      <c r="K1042" t="s">
        <v>28</v>
      </c>
      <c r="L1042" t="s">
        <v>35</v>
      </c>
    </row>
    <row r="1043" spans="1:13" x14ac:dyDescent="0.25">
      <c r="A1043">
        <v>2041</v>
      </c>
      <c r="B1043" t="s">
        <v>692</v>
      </c>
      <c r="C1043" t="s">
        <v>70</v>
      </c>
      <c r="D1043" t="s">
        <v>131</v>
      </c>
      <c r="E1043" t="s">
        <v>212</v>
      </c>
      <c r="F1043" t="s">
        <v>53</v>
      </c>
      <c r="G1043">
        <v>-1</v>
      </c>
      <c r="H1043">
        <v>59.99</v>
      </c>
      <c r="J1043" t="s">
        <v>33</v>
      </c>
      <c r="K1043" t="s">
        <v>55</v>
      </c>
      <c r="L1043" t="s">
        <v>35</v>
      </c>
    </row>
    <row r="1044" spans="1:13" x14ac:dyDescent="0.25">
      <c r="A1044">
        <v>2042</v>
      </c>
      <c r="B1044" t="s">
        <v>506</v>
      </c>
      <c r="C1044" t="s">
        <v>70</v>
      </c>
      <c r="D1044" t="s">
        <v>131</v>
      </c>
      <c r="E1044" t="s">
        <v>85</v>
      </c>
      <c r="F1044" t="s">
        <v>26</v>
      </c>
      <c r="G1044">
        <v>1</v>
      </c>
      <c r="H1044" t="s">
        <v>86</v>
      </c>
      <c r="J1044" t="s">
        <v>33</v>
      </c>
      <c r="K1044" t="s">
        <v>50</v>
      </c>
      <c r="L1044" t="s">
        <v>21</v>
      </c>
    </row>
    <row r="1045" spans="1:13" x14ac:dyDescent="0.25">
      <c r="A1045">
        <v>2043</v>
      </c>
      <c r="B1045" t="s">
        <v>693</v>
      </c>
      <c r="C1045" t="s">
        <v>77</v>
      </c>
      <c r="D1045" t="s">
        <v>78</v>
      </c>
      <c r="E1045" t="s">
        <v>92</v>
      </c>
      <c r="F1045" t="s">
        <v>26</v>
      </c>
      <c r="G1045">
        <v>5</v>
      </c>
      <c r="H1045">
        <v>14.99</v>
      </c>
      <c r="J1045" t="s">
        <v>27</v>
      </c>
      <c r="K1045" t="s">
        <v>34</v>
      </c>
      <c r="L1045" t="s">
        <v>35</v>
      </c>
    </row>
    <row r="1046" spans="1:13" x14ac:dyDescent="0.25">
      <c r="A1046">
        <v>2044</v>
      </c>
      <c r="C1046" t="s">
        <v>77</v>
      </c>
      <c r="D1046" t="s">
        <v>120</v>
      </c>
      <c r="E1046" t="s">
        <v>44</v>
      </c>
      <c r="F1046" t="s">
        <v>17</v>
      </c>
      <c r="H1046">
        <v>15.99</v>
      </c>
      <c r="J1046" t="s">
        <v>62</v>
      </c>
      <c r="K1046" t="s">
        <v>28</v>
      </c>
      <c r="L1046" t="s">
        <v>35</v>
      </c>
    </row>
    <row r="1047" spans="1:13" x14ac:dyDescent="0.25">
      <c r="A1047">
        <v>2045</v>
      </c>
      <c r="B1047" t="s">
        <v>694</v>
      </c>
      <c r="C1047" t="s">
        <v>65</v>
      </c>
      <c r="D1047" t="s">
        <v>123</v>
      </c>
      <c r="E1047" t="s">
        <v>72</v>
      </c>
      <c r="F1047" t="s">
        <v>73</v>
      </c>
      <c r="H1047" t="s">
        <v>108</v>
      </c>
      <c r="J1047" t="s">
        <v>62</v>
      </c>
      <c r="K1047" t="s">
        <v>68</v>
      </c>
      <c r="L1047" t="s">
        <v>35</v>
      </c>
    </row>
    <row r="1048" spans="1:13" x14ac:dyDescent="0.25">
      <c r="A1048">
        <v>2046</v>
      </c>
      <c r="B1048" t="s">
        <v>695</v>
      </c>
      <c r="C1048" t="s">
        <v>42</v>
      </c>
      <c r="D1048" t="s">
        <v>116</v>
      </c>
      <c r="E1048" t="s">
        <v>72</v>
      </c>
      <c r="F1048" t="s">
        <v>73</v>
      </c>
      <c r="G1048">
        <v>3</v>
      </c>
      <c r="H1048" t="s">
        <v>108</v>
      </c>
      <c r="J1048" t="s">
        <v>57</v>
      </c>
      <c r="K1048" t="s">
        <v>34</v>
      </c>
      <c r="L1048" t="s">
        <v>35</v>
      </c>
    </row>
    <row r="1049" spans="1:13" x14ac:dyDescent="0.25">
      <c r="A1049">
        <v>2047</v>
      </c>
      <c r="C1049" t="s">
        <v>65</v>
      </c>
      <c r="D1049" t="s">
        <v>66</v>
      </c>
      <c r="E1049" t="s">
        <v>31</v>
      </c>
      <c r="F1049" t="s">
        <v>32</v>
      </c>
      <c r="G1049">
        <v>5</v>
      </c>
      <c r="H1049">
        <v>79.989999999999995</v>
      </c>
      <c r="J1049" t="s">
        <v>19</v>
      </c>
      <c r="K1049" t="s">
        <v>28</v>
      </c>
      <c r="L1049" t="s">
        <v>29</v>
      </c>
    </row>
    <row r="1050" spans="1:13" x14ac:dyDescent="0.25">
      <c r="A1050">
        <v>2048</v>
      </c>
      <c r="C1050" t="s">
        <v>77</v>
      </c>
      <c r="D1050" t="s">
        <v>78</v>
      </c>
      <c r="E1050" t="s">
        <v>44</v>
      </c>
      <c r="F1050" t="s">
        <v>17</v>
      </c>
      <c r="G1050">
        <v>-1</v>
      </c>
      <c r="H1050">
        <v>15.99</v>
      </c>
      <c r="J1050" t="s">
        <v>27</v>
      </c>
      <c r="K1050" t="s">
        <v>20</v>
      </c>
      <c r="L1050" t="s">
        <v>21</v>
      </c>
      <c r="M1050" t="s">
        <v>63</v>
      </c>
    </row>
    <row r="1051" spans="1:13" x14ac:dyDescent="0.25">
      <c r="A1051">
        <v>2049</v>
      </c>
      <c r="B1051" t="s">
        <v>696</v>
      </c>
      <c r="C1051" t="s">
        <v>70</v>
      </c>
      <c r="D1051" t="s">
        <v>71</v>
      </c>
      <c r="E1051" t="s">
        <v>44</v>
      </c>
      <c r="F1051" t="s">
        <v>17</v>
      </c>
      <c r="G1051">
        <v>4</v>
      </c>
      <c r="H1051" t="s">
        <v>18</v>
      </c>
      <c r="J1051" t="s">
        <v>54</v>
      </c>
      <c r="K1051" t="s">
        <v>55</v>
      </c>
      <c r="L1051" t="s">
        <v>46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
  <sheetViews>
    <sheetView workbookViewId="0">
      <selection activeCell="N14" sqref="N14"/>
    </sheetView>
  </sheetViews>
  <sheetFormatPr defaultRowHeight="15" x14ac:dyDescent="0.25"/>
  <cols>
    <col min="1" max="1" width="29.85546875" bestFit="1" customWidth="1"/>
    <col min="2" max="2" width="42.28515625" bestFit="1" customWidth="1"/>
    <col min="3" max="3" width="49.28515625" bestFit="1" customWidth="1"/>
    <col min="4" max="4" width="67.42578125" bestFit="1" customWidth="1"/>
    <col min="5" max="5" width="123.42578125" bestFit="1" customWidth="1"/>
    <col min="6" max="6" width="41" bestFit="1" customWidth="1"/>
    <col min="7" max="7" width="43.7109375" bestFit="1" customWidth="1"/>
    <col min="8" max="8" width="28.7109375" bestFit="1" customWidth="1"/>
    <col min="9" max="9" width="121" bestFit="1" customWidth="1"/>
    <col min="10" max="10" width="45.5703125" bestFit="1" customWidth="1"/>
    <col min="11" max="11" width="52.5703125" bestFit="1" customWidth="1"/>
    <col min="12" max="12" width="45.85546875" bestFit="1" customWidth="1"/>
    <col min="13" max="13" width="49.28515625" bestFit="1" customWidth="1"/>
    <col min="14" max="15" width="39.28515625" bestFit="1"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703</v>
      </c>
    </row>
    <row r="2" spans="1:14" x14ac:dyDescent="0.25">
      <c r="A2" t="s">
        <v>699</v>
      </c>
      <c r="B2" t="s">
        <v>709</v>
      </c>
      <c r="C2" t="s">
        <v>729</v>
      </c>
      <c r="D2" t="s">
        <v>730</v>
      </c>
      <c r="E2" t="s">
        <v>725</v>
      </c>
      <c r="F2" t="s">
        <v>724</v>
      </c>
      <c r="G2" t="s">
        <v>721</v>
      </c>
      <c r="H2" t="s">
        <v>722</v>
      </c>
      <c r="I2" t="s">
        <v>723</v>
      </c>
      <c r="J2" t="s">
        <v>701</v>
      </c>
      <c r="K2" t="s">
        <v>715</v>
      </c>
      <c r="L2" t="s">
        <v>718</v>
      </c>
      <c r="M2" t="s">
        <v>713</v>
      </c>
      <c r="N2" t="s">
        <v>704</v>
      </c>
    </row>
    <row r="3" spans="1:14" x14ac:dyDescent="0.25">
      <c r="B3" t="s">
        <v>710</v>
      </c>
      <c r="C3" t="s">
        <v>714</v>
      </c>
      <c r="D3" t="s">
        <v>731</v>
      </c>
      <c r="E3" t="s">
        <v>726</v>
      </c>
      <c r="F3" t="s">
        <v>727</v>
      </c>
      <c r="J3" t="s">
        <v>700</v>
      </c>
      <c r="K3" t="s">
        <v>720</v>
      </c>
      <c r="L3" t="s">
        <v>720</v>
      </c>
      <c r="M3" t="s">
        <v>714</v>
      </c>
      <c r="N3" t="s">
        <v>705</v>
      </c>
    </row>
    <row r="4" spans="1:14" x14ac:dyDescent="0.25">
      <c r="B4" t="s">
        <v>711</v>
      </c>
      <c r="D4" t="s">
        <v>732</v>
      </c>
      <c r="E4" t="s">
        <v>728</v>
      </c>
      <c r="J4" t="s">
        <v>702</v>
      </c>
      <c r="K4" t="s">
        <v>716</v>
      </c>
      <c r="L4" t="s">
        <v>719</v>
      </c>
      <c r="N4" t="s">
        <v>706</v>
      </c>
    </row>
    <row r="5" spans="1:14" x14ac:dyDescent="0.25">
      <c r="B5" t="s">
        <v>712</v>
      </c>
      <c r="D5" t="s">
        <v>733</v>
      </c>
      <c r="K5" t="s">
        <v>717</v>
      </c>
      <c r="N5" t="s">
        <v>707</v>
      </c>
    </row>
    <row r="6" spans="1:14" x14ac:dyDescent="0.25">
      <c r="B6" t="s">
        <v>708</v>
      </c>
      <c r="N6" t="s">
        <v>734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13E9E-CB25-425F-B432-661770E8760D}">
  <dimension ref="A1:P1051"/>
  <sheetViews>
    <sheetView topLeftCell="A2" workbookViewId="0">
      <selection activeCell="E32" sqref="E32"/>
    </sheetView>
  </sheetViews>
  <sheetFormatPr defaultRowHeight="15" x14ac:dyDescent="0.25"/>
  <cols>
    <col min="1" max="1" width="14.42578125" customWidth="1"/>
    <col min="2" max="2" width="15.85546875" customWidth="1"/>
    <col min="3" max="3" width="17.85546875" customWidth="1"/>
    <col min="4" max="4" width="24.85546875" bestFit="1" customWidth="1"/>
    <col min="5" max="5" width="18.42578125" customWidth="1"/>
    <col min="6" max="6" width="13.85546875" customWidth="1"/>
    <col min="7" max="7" width="14" customWidth="1"/>
    <col min="8" max="8" width="14" style="7" customWidth="1"/>
    <col min="9" max="9" width="17" customWidth="1"/>
    <col min="10" max="10" width="18.5703125" customWidth="1"/>
    <col min="11" max="11" width="13.42578125" customWidth="1"/>
    <col min="12" max="12" width="17.7109375" customWidth="1"/>
    <col min="13" max="13" width="11" customWidth="1"/>
    <col min="14" max="14" width="16.85546875" customWidth="1"/>
    <col min="15" max="15" width="18.5703125" customWidth="1"/>
    <col min="16" max="16" width="19.42578125" customWidth="1"/>
  </cols>
  <sheetData>
    <row r="1" spans="1:13" x14ac:dyDescent="0.25">
      <c r="A1" s="19" t="s">
        <v>0</v>
      </c>
      <c r="B1" s="20" t="s">
        <v>1</v>
      </c>
      <c r="C1" s="20" t="s">
        <v>2</v>
      </c>
      <c r="D1" s="20" t="s">
        <v>3</v>
      </c>
      <c r="E1" s="20" t="s">
        <v>4</v>
      </c>
      <c r="F1" s="20" t="s">
        <v>5</v>
      </c>
      <c r="G1" s="20" t="s">
        <v>6</v>
      </c>
      <c r="H1" s="21" t="s">
        <v>7</v>
      </c>
      <c r="I1" s="20" t="s">
        <v>8</v>
      </c>
      <c r="J1" s="20" t="s">
        <v>698</v>
      </c>
      <c r="K1" s="20" t="s">
        <v>10</v>
      </c>
      <c r="L1" s="20" t="s">
        <v>11</v>
      </c>
      <c r="M1" s="22" t="s">
        <v>12</v>
      </c>
    </row>
    <row r="2" spans="1:13" x14ac:dyDescent="0.25">
      <c r="A2" s="10">
        <v>1000</v>
      </c>
      <c r="B2" s="3">
        <v>44988</v>
      </c>
      <c r="C2" s="2" t="s">
        <v>14</v>
      </c>
      <c r="D2" s="2" t="s">
        <v>15</v>
      </c>
      <c r="E2" s="2" t="s">
        <v>44</v>
      </c>
      <c r="F2" s="2" t="s">
        <v>17</v>
      </c>
      <c r="G2" s="2">
        <v>5</v>
      </c>
      <c r="H2" s="6">
        <v>15.99</v>
      </c>
      <c r="I2" s="4">
        <f>IF(G2="N/A","N/A",PRODUCT(G2,H2))</f>
        <v>79.95</v>
      </c>
      <c r="J2" s="2" t="s">
        <v>19</v>
      </c>
      <c r="K2" s="2" t="s">
        <v>28</v>
      </c>
      <c r="L2" s="2" t="s">
        <v>35</v>
      </c>
      <c r="M2" s="11" t="s">
        <v>697</v>
      </c>
    </row>
    <row r="3" spans="1:13" x14ac:dyDescent="0.25">
      <c r="A3" s="10">
        <v>1001</v>
      </c>
      <c r="B3" s="3">
        <v>44991</v>
      </c>
      <c r="C3" s="2" t="s">
        <v>23</v>
      </c>
      <c r="D3" s="2" t="s">
        <v>24</v>
      </c>
      <c r="E3" s="2" t="s">
        <v>85</v>
      </c>
      <c r="F3" s="2" t="s">
        <v>26</v>
      </c>
      <c r="G3" s="2">
        <v>5</v>
      </c>
      <c r="H3" s="6">
        <v>99.99</v>
      </c>
      <c r="I3" s="4">
        <f t="shared" ref="I3:I66" si="0">IF(G3="N/A","N/A",PRODUCT(G3,H3))</f>
        <v>499.95</v>
      </c>
      <c r="J3" s="2" t="s">
        <v>27</v>
      </c>
      <c r="K3" s="2" t="s">
        <v>28</v>
      </c>
      <c r="L3" s="2" t="s">
        <v>29</v>
      </c>
      <c r="M3" s="11" t="s">
        <v>697</v>
      </c>
    </row>
    <row r="4" spans="1:13" x14ac:dyDescent="0.25">
      <c r="A4" s="10">
        <v>1002</v>
      </c>
      <c r="B4" s="3">
        <v>45014</v>
      </c>
      <c r="C4" s="2" t="s">
        <v>23</v>
      </c>
      <c r="D4" s="2" t="s">
        <v>24</v>
      </c>
      <c r="E4" s="2" t="s">
        <v>31</v>
      </c>
      <c r="F4" s="2" t="s">
        <v>32</v>
      </c>
      <c r="G4" s="4" t="s">
        <v>697</v>
      </c>
      <c r="H4" s="6">
        <v>79.989999999999995</v>
      </c>
      <c r="I4" s="4" t="str">
        <f t="shared" si="0"/>
        <v>N/A</v>
      </c>
      <c r="J4" s="2" t="s">
        <v>33</v>
      </c>
      <c r="K4" s="2" t="s">
        <v>34</v>
      </c>
      <c r="L4" s="2" t="s">
        <v>35</v>
      </c>
      <c r="M4" s="11" t="s">
        <v>697</v>
      </c>
    </row>
    <row r="5" spans="1:13" x14ac:dyDescent="0.25">
      <c r="A5" s="10">
        <v>1003</v>
      </c>
      <c r="B5" s="3">
        <v>45062</v>
      </c>
      <c r="C5" s="2" t="s">
        <v>37</v>
      </c>
      <c r="D5" s="2" t="s">
        <v>38</v>
      </c>
      <c r="E5" s="2" t="s">
        <v>39</v>
      </c>
      <c r="F5" s="2" t="s">
        <v>17</v>
      </c>
      <c r="G5" s="2">
        <v>4</v>
      </c>
      <c r="H5" s="6">
        <v>39.99</v>
      </c>
      <c r="I5" s="4">
        <f t="shared" si="0"/>
        <v>159.96</v>
      </c>
      <c r="J5" s="2" t="s">
        <v>27</v>
      </c>
      <c r="K5" s="2" t="s">
        <v>28</v>
      </c>
      <c r="L5" s="2" t="s">
        <v>40</v>
      </c>
      <c r="M5" s="11" t="s">
        <v>697</v>
      </c>
    </row>
    <row r="6" spans="1:13" x14ac:dyDescent="0.25">
      <c r="A6" s="10">
        <v>1004</v>
      </c>
      <c r="B6" s="3">
        <v>45353</v>
      </c>
      <c r="C6" s="2" t="s">
        <v>42</v>
      </c>
      <c r="D6" s="2" t="s">
        <v>43</v>
      </c>
      <c r="E6" s="2" t="s">
        <v>44</v>
      </c>
      <c r="F6" s="2" t="s">
        <v>17</v>
      </c>
      <c r="G6" s="4" t="s">
        <v>697</v>
      </c>
      <c r="H6" s="6">
        <v>15.99</v>
      </c>
      <c r="I6" s="4" t="str">
        <f t="shared" si="0"/>
        <v>N/A</v>
      </c>
      <c r="J6" s="2" t="s">
        <v>27</v>
      </c>
      <c r="K6" s="2" t="s">
        <v>45</v>
      </c>
      <c r="L6" s="2" t="s">
        <v>35</v>
      </c>
      <c r="M6" s="11" t="s">
        <v>697</v>
      </c>
    </row>
    <row r="7" spans="1:13" x14ac:dyDescent="0.25">
      <c r="A7" s="10">
        <v>1005</v>
      </c>
      <c r="B7" s="3">
        <v>45410</v>
      </c>
      <c r="C7" s="2" t="s">
        <v>42</v>
      </c>
      <c r="D7" s="2" t="s">
        <v>48</v>
      </c>
      <c r="E7" s="2" t="s">
        <v>92</v>
      </c>
      <c r="F7" s="2" t="s">
        <v>26</v>
      </c>
      <c r="G7" s="2">
        <v>2</v>
      </c>
      <c r="H7" s="6">
        <v>14.99</v>
      </c>
      <c r="I7" s="4">
        <f t="shared" si="0"/>
        <v>29.98</v>
      </c>
      <c r="J7" s="2" t="s">
        <v>19</v>
      </c>
      <c r="K7" s="2" t="s">
        <v>45</v>
      </c>
      <c r="L7" s="2" t="s">
        <v>35</v>
      </c>
      <c r="M7" s="11" t="s">
        <v>697</v>
      </c>
    </row>
    <row r="8" spans="1:13" x14ac:dyDescent="0.25">
      <c r="A8" s="10">
        <v>1006</v>
      </c>
      <c r="B8" s="3">
        <v>45366</v>
      </c>
      <c r="C8" s="2" t="s">
        <v>23</v>
      </c>
      <c r="D8" s="2" t="s">
        <v>24</v>
      </c>
      <c r="E8" s="2" t="s">
        <v>52</v>
      </c>
      <c r="F8" s="2" t="s">
        <v>53</v>
      </c>
      <c r="G8" s="2">
        <v>2</v>
      </c>
      <c r="H8" s="6">
        <v>59.99</v>
      </c>
      <c r="I8" s="4">
        <f t="shared" si="0"/>
        <v>119.98</v>
      </c>
      <c r="J8" s="2" t="s">
        <v>54</v>
      </c>
      <c r="K8" s="2" t="s">
        <v>55</v>
      </c>
      <c r="L8" s="2" t="s">
        <v>35</v>
      </c>
      <c r="M8" s="11" t="s">
        <v>697</v>
      </c>
    </row>
    <row r="9" spans="1:13" x14ac:dyDescent="0.25">
      <c r="A9" s="10">
        <v>1007</v>
      </c>
      <c r="B9" s="5" t="s">
        <v>697</v>
      </c>
      <c r="C9" s="2" t="s">
        <v>37</v>
      </c>
      <c r="D9" s="2" t="s">
        <v>38</v>
      </c>
      <c r="E9" s="2" t="s">
        <v>92</v>
      </c>
      <c r="F9" s="2" t="s">
        <v>26</v>
      </c>
      <c r="G9" s="2">
        <v>1</v>
      </c>
      <c r="H9" s="6">
        <v>14.99</v>
      </c>
      <c r="I9" s="4">
        <f t="shared" si="0"/>
        <v>14.99</v>
      </c>
      <c r="J9" s="2" t="s">
        <v>33</v>
      </c>
      <c r="K9" s="2" t="s">
        <v>55</v>
      </c>
      <c r="L9" s="2" t="s">
        <v>35</v>
      </c>
      <c r="M9" s="11" t="s">
        <v>697</v>
      </c>
    </row>
    <row r="10" spans="1:13" x14ac:dyDescent="0.25">
      <c r="A10" s="10">
        <v>1008</v>
      </c>
      <c r="B10" s="3">
        <v>45388</v>
      </c>
      <c r="C10" s="2" t="s">
        <v>42</v>
      </c>
      <c r="D10" s="2" t="s">
        <v>43</v>
      </c>
      <c r="E10" s="2" t="s">
        <v>82</v>
      </c>
      <c r="F10" s="2" t="s">
        <v>60</v>
      </c>
      <c r="G10" s="4" t="s">
        <v>697</v>
      </c>
      <c r="H10" s="6">
        <v>4.99</v>
      </c>
      <c r="I10" s="4" t="str">
        <f t="shared" si="0"/>
        <v>N/A</v>
      </c>
      <c r="J10" s="2" t="s">
        <v>33</v>
      </c>
      <c r="K10" s="2" t="s">
        <v>28</v>
      </c>
      <c r="L10" s="2" t="s">
        <v>29</v>
      </c>
      <c r="M10" s="12" t="s">
        <v>63</v>
      </c>
    </row>
    <row r="11" spans="1:13" x14ac:dyDescent="0.25">
      <c r="A11" s="10">
        <v>1009</v>
      </c>
      <c r="B11" s="3">
        <v>45227</v>
      </c>
      <c r="C11" s="2" t="s">
        <v>65</v>
      </c>
      <c r="D11" s="2" t="s">
        <v>66</v>
      </c>
      <c r="E11" s="2" t="s">
        <v>31</v>
      </c>
      <c r="F11" s="2" t="s">
        <v>32</v>
      </c>
      <c r="G11" s="2">
        <v>5</v>
      </c>
      <c r="H11" s="6">
        <v>79.989999999999995</v>
      </c>
      <c r="I11" s="4">
        <f t="shared" si="0"/>
        <v>399.95</v>
      </c>
      <c r="J11" s="2" t="s">
        <v>27</v>
      </c>
      <c r="K11" s="2" t="s">
        <v>28</v>
      </c>
      <c r="L11" s="2" t="s">
        <v>35</v>
      </c>
      <c r="M11" s="11" t="s">
        <v>697</v>
      </c>
    </row>
    <row r="12" spans="1:13" x14ac:dyDescent="0.25">
      <c r="A12" s="10">
        <v>1010</v>
      </c>
      <c r="B12" s="3">
        <v>45087</v>
      </c>
      <c r="C12" s="2" t="s">
        <v>70</v>
      </c>
      <c r="D12" s="2" t="s">
        <v>71</v>
      </c>
      <c r="E12" s="2" t="s">
        <v>72</v>
      </c>
      <c r="F12" s="2" t="s">
        <v>73</v>
      </c>
      <c r="G12" s="2">
        <v>2</v>
      </c>
      <c r="H12" s="6">
        <v>49.99</v>
      </c>
      <c r="I12" s="4">
        <f t="shared" si="0"/>
        <v>99.98</v>
      </c>
      <c r="J12" s="2" t="s">
        <v>54</v>
      </c>
      <c r="K12" s="2" t="s">
        <v>28</v>
      </c>
      <c r="L12" s="2" t="s">
        <v>35</v>
      </c>
      <c r="M12" s="11" t="s">
        <v>697</v>
      </c>
    </row>
    <row r="13" spans="1:13" x14ac:dyDescent="0.25">
      <c r="A13" s="10">
        <v>1011</v>
      </c>
      <c r="B13" s="3">
        <v>45110</v>
      </c>
      <c r="C13" s="2" t="s">
        <v>14</v>
      </c>
      <c r="D13" s="2" t="s">
        <v>75</v>
      </c>
      <c r="E13" s="2" t="s">
        <v>92</v>
      </c>
      <c r="F13" s="2" t="s">
        <v>26</v>
      </c>
      <c r="G13" s="2">
        <v>1</v>
      </c>
      <c r="H13" s="6">
        <v>14.99</v>
      </c>
      <c r="I13" s="4">
        <f t="shared" si="0"/>
        <v>14.99</v>
      </c>
      <c r="J13" s="2" t="s">
        <v>33</v>
      </c>
      <c r="K13" s="2" t="s">
        <v>28</v>
      </c>
      <c r="L13" s="2" t="s">
        <v>35</v>
      </c>
      <c r="M13" s="11" t="s">
        <v>697</v>
      </c>
    </row>
    <row r="14" spans="1:13" x14ac:dyDescent="0.25">
      <c r="A14" s="10">
        <v>1012</v>
      </c>
      <c r="B14" s="3">
        <v>45423</v>
      </c>
      <c r="C14" s="2" t="s">
        <v>77</v>
      </c>
      <c r="D14" s="2" t="s">
        <v>78</v>
      </c>
      <c r="E14" s="2" t="s">
        <v>44</v>
      </c>
      <c r="F14" s="2" t="s">
        <v>17</v>
      </c>
      <c r="G14" s="2">
        <v>5</v>
      </c>
      <c r="H14" s="6">
        <v>15.99</v>
      </c>
      <c r="I14" s="4">
        <f t="shared" si="0"/>
        <v>79.95</v>
      </c>
      <c r="J14" s="2" t="s">
        <v>27</v>
      </c>
      <c r="K14" s="2" t="s">
        <v>45</v>
      </c>
      <c r="L14" s="2" t="s">
        <v>40</v>
      </c>
      <c r="M14" s="11" t="s">
        <v>697</v>
      </c>
    </row>
    <row r="15" spans="1:13" x14ac:dyDescent="0.25">
      <c r="A15" s="10">
        <v>1013</v>
      </c>
      <c r="B15" s="3">
        <v>44994</v>
      </c>
      <c r="C15" s="2" t="s">
        <v>14</v>
      </c>
      <c r="D15" s="2" t="s">
        <v>75</v>
      </c>
      <c r="E15" s="2" t="s">
        <v>44</v>
      </c>
      <c r="F15" s="2" t="s">
        <v>17</v>
      </c>
      <c r="G15" s="2">
        <v>1</v>
      </c>
      <c r="H15" s="6">
        <v>15.99</v>
      </c>
      <c r="I15" s="4">
        <f t="shared" si="0"/>
        <v>15.99</v>
      </c>
      <c r="J15" s="2" t="s">
        <v>27</v>
      </c>
      <c r="K15" s="2" t="s">
        <v>45</v>
      </c>
      <c r="L15" s="2" t="s">
        <v>40</v>
      </c>
      <c r="M15" s="11" t="s">
        <v>697</v>
      </c>
    </row>
    <row r="16" spans="1:13" x14ac:dyDescent="0.25">
      <c r="A16" s="10">
        <v>1014</v>
      </c>
      <c r="B16" s="5" t="s">
        <v>697</v>
      </c>
      <c r="C16" s="2" t="s">
        <v>23</v>
      </c>
      <c r="D16" s="4" t="s">
        <v>697</v>
      </c>
      <c r="E16" s="2" t="s">
        <v>39</v>
      </c>
      <c r="F16" s="2" t="s">
        <v>17</v>
      </c>
      <c r="G16" s="2">
        <v>5</v>
      </c>
      <c r="H16" s="6">
        <v>39.99</v>
      </c>
      <c r="I16" s="4">
        <f t="shared" si="0"/>
        <v>199.95000000000002</v>
      </c>
      <c r="J16" s="2" t="s">
        <v>27</v>
      </c>
      <c r="K16" s="2" t="s">
        <v>45</v>
      </c>
      <c r="L16" s="2" t="s">
        <v>35</v>
      </c>
      <c r="M16" s="11" t="s">
        <v>697</v>
      </c>
    </row>
    <row r="17" spans="1:16" x14ac:dyDescent="0.25">
      <c r="A17" s="10">
        <v>1015</v>
      </c>
      <c r="B17" s="3">
        <v>45006</v>
      </c>
      <c r="C17" s="2" t="s">
        <v>23</v>
      </c>
      <c r="D17" s="2" t="s">
        <v>81</v>
      </c>
      <c r="E17" s="2" t="s">
        <v>82</v>
      </c>
      <c r="F17" s="2" t="s">
        <v>60</v>
      </c>
      <c r="G17" s="2">
        <v>3</v>
      </c>
      <c r="H17" s="6">
        <v>4.99</v>
      </c>
      <c r="I17" s="4">
        <f t="shared" si="0"/>
        <v>14.97</v>
      </c>
      <c r="J17" s="2" t="s">
        <v>19</v>
      </c>
      <c r="K17" s="2" t="s">
        <v>45</v>
      </c>
      <c r="L17" s="2" t="s">
        <v>35</v>
      </c>
      <c r="M17" s="11" t="s">
        <v>697</v>
      </c>
    </row>
    <row r="18" spans="1:16" x14ac:dyDescent="0.25">
      <c r="A18" s="10">
        <v>1016</v>
      </c>
      <c r="B18" s="3">
        <v>45404</v>
      </c>
      <c r="C18" s="2" t="s">
        <v>14</v>
      </c>
      <c r="D18" s="2" t="s">
        <v>84</v>
      </c>
      <c r="E18" s="2" t="s">
        <v>85</v>
      </c>
      <c r="F18" s="2" t="s">
        <v>26</v>
      </c>
      <c r="G18" s="2">
        <v>2</v>
      </c>
      <c r="H18" s="6">
        <v>99.99</v>
      </c>
      <c r="I18" s="4">
        <f t="shared" si="0"/>
        <v>199.98</v>
      </c>
      <c r="J18" s="2" t="s">
        <v>19</v>
      </c>
      <c r="K18" s="2" t="s">
        <v>45</v>
      </c>
      <c r="L18" s="2" t="s">
        <v>35</v>
      </c>
      <c r="M18" s="11" t="s">
        <v>697</v>
      </c>
      <c r="P18" s="8"/>
    </row>
    <row r="19" spans="1:16" x14ac:dyDescent="0.25">
      <c r="A19" s="10">
        <v>1017</v>
      </c>
      <c r="B19" s="5" t="s">
        <v>697</v>
      </c>
      <c r="C19" s="2" t="s">
        <v>70</v>
      </c>
      <c r="D19" s="2" t="s">
        <v>71</v>
      </c>
      <c r="E19" s="2" t="s">
        <v>72</v>
      </c>
      <c r="F19" s="2" t="s">
        <v>73</v>
      </c>
      <c r="G19" s="2">
        <v>1</v>
      </c>
      <c r="H19" s="6">
        <v>49.99</v>
      </c>
      <c r="I19" s="4">
        <f t="shared" si="0"/>
        <v>49.99</v>
      </c>
      <c r="J19" s="2" t="s">
        <v>33</v>
      </c>
      <c r="K19" s="2" t="s">
        <v>55</v>
      </c>
      <c r="L19" s="2" t="s">
        <v>35</v>
      </c>
      <c r="M19" s="11" t="s">
        <v>697</v>
      </c>
      <c r="P19" s="8"/>
    </row>
    <row r="20" spans="1:16" x14ac:dyDescent="0.25">
      <c r="A20" s="10">
        <v>1018</v>
      </c>
      <c r="B20" s="3">
        <v>45186</v>
      </c>
      <c r="C20" s="2" t="s">
        <v>14</v>
      </c>
      <c r="D20" s="2" t="s">
        <v>84</v>
      </c>
      <c r="E20" s="2" t="s">
        <v>82</v>
      </c>
      <c r="F20" s="2" t="s">
        <v>60</v>
      </c>
      <c r="G20" s="4" t="s">
        <v>697</v>
      </c>
      <c r="H20" s="6">
        <v>4.99</v>
      </c>
      <c r="I20" s="4" t="str">
        <f t="shared" si="0"/>
        <v>N/A</v>
      </c>
      <c r="J20" s="2" t="s">
        <v>33</v>
      </c>
      <c r="K20" s="2" t="s">
        <v>55</v>
      </c>
      <c r="L20" s="2" t="s">
        <v>35</v>
      </c>
      <c r="M20" s="12" t="s">
        <v>63</v>
      </c>
      <c r="P20" s="8"/>
    </row>
    <row r="21" spans="1:16" x14ac:dyDescent="0.25">
      <c r="A21" s="10">
        <v>1019</v>
      </c>
      <c r="B21" s="5" t="s">
        <v>697</v>
      </c>
      <c r="C21" s="2" t="s">
        <v>70</v>
      </c>
      <c r="D21" s="2" t="s">
        <v>88</v>
      </c>
      <c r="E21" s="2" t="s">
        <v>39</v>
      </c>
      <c r="F21" s="2" t="s">
        <v>17</v>
      </c>
      <c r="G21" s="2">
        <v>1</v>
      </c>
      <c r="H21" s="6">
        <v>39.99</v>
      </c>
      <c r="I21" s="4">
        <f t="shared" si="0"/>
        <v>39.99</v>
      </c>
      <c r="J21" s="2" t="s">
        <v>33</v>
      </c>
      <c r="K21" s="2" t="s">
        <v>28</v>
      </c>
      <c r="L21" s="2" t="s">
        <v>35</v>
      </c>
      <c r="M21" s="11" t="s">
        <v>697</v>
      </c>
      <c r="P21" s="8"/>
    </row>
    <row r="22" spans="1:16" x14ac:dyDescent="0.25">
      <c r="A22" s="10">
        <v>1020</v>
      </c>
      <c r="B22" s="3">
        <v>45232</v>
      </c>
      <c r="C22" s="2" t="s">
        <v>77</v>
      </c>
      <c r="D22" s="2" t="s">
        <v>91</v>
      </c>
      <c r="E22" s="2" t="s">
        <v>92</v>
      </c>
      <c r="F22" s="2" t="s">
        <v>26</v>
      </c>
      <c r="G22" s="2">
        <v>3</v>
      </c>
      <c r="H22" s="6">
        <v>14.99</v>
      </c>
      <c r="I22" s="4">
        <f t="shared" si="0"/>
        <v>44.97</v>
      </c>
      <c r="J22" s="2" t="s">
        <v>54</v>
      </c>
      <c r="K22" s="2" t="s">
        <v>28</v>
      </c>
      <c r="L22" s="2" t="s">
        <v>35</v>
      </c>
      <c r="M22" s="12" t="s">
        <v>63</v>
      </c>
      <c r="P22" s="8"/>
    </row>
    <row r="23" spans="1:16" x14ac:dyDescent="0.25">
      <c r="A23" s="10">
        <v>1021</v>
      </c>
      <c r="B23" s="3">
        <v>45313</v>
      </c>
      <c r="C23" s="2" t="s">
        <v>14</v>
      </c>
      <c r="D23" s="2" t="s">
        <v>75</v>
      </c>
      <c r="E23" s="2" t="s">
        <v>31</v>
      </c>
      <c r="F23" s="2" t="s">
        <v>32</v>
      </c>
      <c r="G23" s="4" t="s">
        <v>697</v>
      </c>
      <c r="H23" s="6">
        <v>79.989999999999995</v>
      </c>
      <c r="I23" s="4" t="str">
        <f t="shared" si="0"/>
        <v>N/A</v>
      </c>
      <c r="J23" s="2" t="s">
        <v>19</v>
      </c>
      <c r="K23" s="2" t="s">
        <v>28</v>
      </c>
      <c r="L23" s="2" t="s">
        <v>29</v>
      </c>
      <c r="M23" s="11" t="s">
        <v>697</v>
      </c>
      <c r="P23" s="8"/>
    </row>
    <row r="24" spans="1:16" x14ac:dyDescent="0.25">
      <c r="A24" s="10">
        <v>1022</v>
      </c>
      <c r="B24" s="3">
        <v>45364</v>
      </c>
      <c r="C24" s="2" t="s">
        <v>14</v>
      </c>
      <c r="D24" s="2" t="s">
        <v>84</v>
      </c>
      <c r="E24" s="2" t="s">
        <v>127</v>
      </c>
      <c r="F24" s="2" t="s">
        <v>73</v>
      </c>
      <c r="G24" s="2">
        <v>5</v>
      </c>
      <c r="H24" s="6">
        <v>29.99</v>
      </c>
      <c r="I24" s="4">
        <f t="shared" si="0"/>
        <v>149.94999999999999</v>
      </c>
      <c r="J24" s="2" t="s">
        <v>33</v>
      </c>
      <c r="K24" s="2" t="s">
        <v>55</v>
      </c>
      <c r="L24" s="2" t="s">
        <v>29</v>
      </c>
      <c r="M24" s="11" t="s">
        <v>697</v>
      </c>
    </row>
    <row r="25" spans="1:16" x14ac:dyDescent="0.25">
      <c r="A25" s="10">
        <v>1023</v>
      </c>
      <c r="B25" s="3">
        <v>45264</v>
      </c>
      <c r="C25" s="2" t="s">
        <v>23</v>
      </c>
      <c r="D25" s="2" t="s">
        <v>81</v>
      </c>
      <c r="E25" s="2" t="s">
        <v>52</v>
      </c>
      <c r="F25" s="2" t="s">
        <v>53</v>
      </c>
      <c r="G25" s="2">
        <v>4</v>
      </c>
      <c r="H25" s="6">
        <v>59.99</v>
      </c>
      <c r="I25" s="4">
        <f t="shared" si="0"/>
        <v>239.96</v>
      </c>
      <c r="J25" s="2" t="s">
        <v>19</v>
      </c>
      <c r="K25" s="2" t="s">
        <v>34</v>
      </c>
      <c r="L25" s="2" t="s">
        <v>35</v>
      </c>
      <c r="M25" s="11" t="s">
        <v>697</v>
      </c>
    </row>
    <row r="26" spans="1:16" x14ac:dyDescent="0.25">
      <c r="A26" s="10">
        <v>1024</v>
      </c>
      <c r="B26" s="3">
        <v>45011</v>
      </c>
      <c r="C26" s="2" t="s">
        <v>14</v>
      </c>
      <c r="D26" s="2" t="s">
        <v>75</v>
      </c>
      <c r="E26" s="2" t="s">
        <v>72</v>
      </c>
      <c r="F26" s="2" t="s">
        <v>73</v>
      </c>
      <c r="G26" s="4" t="s">
        <v>697</v>
      </c>
      <c r="H26" s="6">
        <v>49.99</v>
      </c>
      <c r="I26" s="4" t="str">
        <f t="shared" si="0"/>
        <v>N/A</v>
      </c>
      <c r="J26" s="2" t="s">
        <v>54</v>
      </c>
      <c r="K26" s="2" t="s">
        <v>45</v>
      </c>
      <c r="L26" s="2" t="s">
        <v>29</v>
      </c>
      <c r="M26" s="11" t="s">
        <v>697</v>
      </c>
    </row>
    <row r="27" spans="1:16" x14ac:dyDescent="0.25">
      <c r="A27" s="10">
        <v>1025</v>
      </c>
      <c r="B27" s="3">
        <v>45334</v>
      </c>
      <c r="C27" s="2" t="s">
        <v>65</v>
      </c>
      <c r="D27" s="2" t="s">
        <v>123</v>
      </c>
      <c r="E27" s="2" t="s">
        <v>85</v>
      </c>
      <c r="F27" s="2" t="s">
        <v>26</v>
      </c>
      <c r="G27" s="2">
        <v>3</v>
      </c>
      <c r="H27" s="6">
        <v>99.99</v>
      </c>
      <c r="I27" s="4">
        <f t="shared" si="0"/>
        <v>299.96999999999997</v>
      </c>
      <c r="J27" s="2" t="s">
        <v>33</v>
      </c>
      <c r="K27" s="2" t="s">
        <v>34</v>
      </c>
      <c r="L27" s="2" t="s">
        <v>35</v>
      </c>
      <c r="M27" s="11" t="s">
        <v>697</v>
      </c>
    </row>
    <row r="28" spans="1:16" x14ac:dyDescent="0.25">
      <c r="A28" s="10">
        <v>1026</v>
      </c>
      <c r="B28" s="3">
        <v>44932</v>
      </c>
      <c r="C28" s="2" t="s">
        <v>77</v>
      </c>
      <c r="D28" s="2" t="s">
        <v>91</v>
      </c>
      <c r="E28" s="2" t="s">
        <v>82</v>
      </c>
      <c r="F28" s="2" t="s">
        <v>60</v>
      </c>
      <c r="G28" s="4" t="s">
        <v>697</v>
      </c>
      <c r="H28" s="6">
        <v>4.99</v>
      </c>
      <c r="I28" s="4" t="str">
        <f t="shared" si="0"/>
        <v>N/A</v>
      </c>
      <c r="J28" s="2" t="s">
        <v>33</v>
      </c>
      <c r="K28" s="2" t="s">
        <v>28</v>
      </c>
      <c r="L28" s="2" t="s">
        <v>29</v>
      </c>
      <c r="M28" s="11" t="s">
        <v>697</v>
      </c>
    </row>
    <row r="29" spans="1:16" x14ac:dyDescent="0.25">
      <c r="A29" s="10">
        <v>1027</v>
      </c>
      <c r="B29" s="3">
        <v>44929</v>
      </c>
      <c r="C29" s="2" t="s">
        <v>77</v>
      </c>
      <c r="D29" s="2" t="s">
        <v>91</v>
      </c>
      <c r="E29" s="2" t="s">
        <v>31</v>
      </c>
      <c r="F29" s="2" t="s">
        <v>32</v>
      </c>
      <c r="G29" s="2">
        <v>1</v>
      </c>
      <c r="H29" s="6">
        <v>79.989999999999995</v>
      </c>
      <c r="I29" s="4">
        <f t="shared" si="0"/>
        <v>79.989999999999995</v>
      </c>
      <c r="J29" s="2" t="s">
        <v>27</v>
      </c>
      <c r="K29" s="2" t="s">
        <v>28</v>
      </c>
      <c r="L29" s="2" t="s">
        <v>35</v>
      </c>
      <c r="M29" s="11" t="s">
        <v>697</v>
      </c>
      <c r="P29" s="9"/>
    </row>
    <row r="30" spans="1:16" x14ac:dyDescent="0.25">
      <c r="A30" s="10">
        <v>1028</v>
      </c>
      <c r="B30" s="3">
        <v>45196</v>
      </c>
      <c r="C30" s="2" t="s">
        <v>42</v>
      </c>
      <c r="D30" s="2" t="s">
        <v>43</v>
      </c>
      <c r="E30" s="2" t="s">
        <v>44</v>
      </c>
      <c r="F30" s="2" t="s">
        <v>17</v>
      </c>
      <c r="G30" s="4" t="s">
        <v>697</v>
      </c>
      <c r="H30" s="6">
        <v>15.99</v>
      </c>
      <c r="I30" s="4" t="str">
        <f t="shared" si="0"/>
        <v>N/A</v>
      </c>
      <c r="J30" s="2" t="s">
        <v>19</v>
      </c>
      <c r="K30" s="2" t="s">
        <v>28</v>
      </c>
      <c r="L30" s="2" t="s">
        <v>35</v>
      </c>
      <c r="M30" s="11" t="s">
        <v>697</v>
      </c>
      <c r="P30" s="9"/>
    </row>
    <row r="31" spans="1:16" x14ac:dyDescent="0.25">
      <c r="A31" s="10">
        <v>1029</v>
      </c>
      <c r="B31" s="5" t="s">
        <v>697</v>
      </c>
      <c r="C31" s="2" t="s">
        <v>42</v>
      </c>
      <c r="D31" s="2" t="s">
        <v>43</v>
      </c>
      <c r="E31" s="2" t="s">
        <v>39</v>
      </c>
      <c r="F31" s="2" t="s">
        <v>17</v>
      </c>
      <c r="G31" s="2">
        <v>1</v>
      </c>
      <c r="H31" s="6">
        <v>39.99</v>
      </c>
      <c r="I31" s="4">
        <f t="shared" si="0"/>
        <v>39.99</v>
      </c>
      <c r="J31" s="2" t="s">
        <v>33</v>
      </c>
      <c r="K31" s="2" t="s">
        <v>28</v>
      </c>
      <c r="L31" s="2" t="s">
        <v>29</v>
      </c>
      <c r="M31" s="11" t="s">
        <v>697</v>
      </c>
      <c r="P31" s="9"/>
    </row>
    <row r="32" spans="1:16" x14ac:dyDescent="0.25">
      <c r="A32" s="10">
        <v>1030</v>
      </c>
      <c r="B32" s="3">
        <v>45264</v>
      </c>
      <c r="C32" s="2" t="s">
        <v>14</v>
      </c>
      <c r="D32" s="2" t="s">
        <v>75</v>
      </c>
      <c r="E32" s="2" t="s">
        <v>72</v>
      </c>
      <c r="F32" s="2" t="s">
        <v>73</v>
      </c>
      <c r="G32" s="2">
        <v>5</v>
      </c>
      <c r="H32" s="6">
        <v>49.99</v>
      </c>
      <c r="I32" s="4">
        <f t="shared" si="0"/>
        <v>249.95000000000002</v>
      </c>
      <c r="J32" s="2" t="s">
        <v>33</v>
      </c>
      <c r="K32" s="2" t="s">
        <v>28</v>
      </c>
      <c r="L32" s="2" t="s">
        <v>35</v>
      </c>
      <c r="M32" s="11" t="s">
        <v>697</v>
      </c>
      <c r="P32" s="9"/>
    </row>
    <row r="33" spans="1:16" x14ac:dyDescent="0.25">
      <c r="A33" s="10">
        <v>1031</v>
      </c>
      <c r="B33" s="3">
        <v>45342</v>
      </c>
      <c r="C33" s="2" t="s">
        <v>42</v>
      </c>
      <c r="D33" s="4" t="s">
        <v>697</v>
      </c>
      <c r="E33" s="2" t="s">
        <v>72</v>
      </c>
      <c r="F33" s="2" t="s">
        <v>73</v>
      </c>
      <c r="G33" s="2">
        <v>2</v>
      </c>
      <c r="H33" s="6">
        <v>49.99</v>
      </c>
      <c r="I33" s="4">
        <f t="shared" si="0"/>
        <v>99.98</v>
      </c>
      <c r="J33" s="2" t="s">
        <v>33</v>
      </c>
      <c r="K33" s="2" t="s">
        <v>28</v>
      </c>
      <c r="L33" s="2" t="s">
        <v>40</v>
      </c>
      <c r="M33" s="11" t="s">
        <v>697</v>
      </c>
      <c r="P33" s="9"/>
    </row>
    <row r="34" spans="1:16" x14ac:dyDescent="0.25">
      <c r="A34" s="10">
        <v>1032</v>
      </c>
      <c r="B34" s="5" t="s">
        <v>697</v>
      </c>
      <c r="C34" s="2" t="s">
        <v>65</v>
      </c>
      <c r="D34" s="2" t="s">
        <v>126</v>
      </c>
      <c r="E34" s="2" t="s">
        <v>92</v>
      </c>
      <c r="F34" s="2" t="s">
        <v>26</v>
      </c>
      <c r="G34" s="2">
        <v>1</v>
      </c>
      <c r="H34" s="6">
        <v>14.99</v>
      </c>
      <c r="I34" s="4">
        <f t="shared" si="0"/>
        <v>14.99</v>
      </c>
      <c r="J34" s="2" t="s">
        <v>54</v>
      </c>
      <c r="K34" s="2" t="s">
        <v>28</v>
      </c>
      <c r="L34" s="2" t="s">
        <v>40</v>
      </c>
      <c r="M34" s="11" t="s">
        <v>697</v>
      </c>
      <c r="P34" s="9"/>
    </row>
    <row r="35" spans="1:16" x14ac:dyDescent="0.25">
      <c r="A35" s="10">
        <v>1033</v>
      </c>
      <c r="B35" s="3">
        <v>45272</v>
      </c>
      <c r="C35" s="2" t="s">
        <v>42</v>
      </c>
      <c r="D35" s="2" t="s">
        <v>43</v>
      </c>
      <c r="E35" s="2" t="s">
        <v>82</v>
      </c>
      <c r="F35" s="2" t="s">
        <v>60</v>
      </c>
      <c r="G35" s="2">
        <v>3</v>
      </c>
      <c r="H35" s="6">
        <v>4.99</v>
      </c>
      <c r="I35" s="4">
        <f t="shared" si="0"/>
        <v>14.97</v>
      </c>
      <c r="J35" s="2" t="s">
        <v>54</v>
      </c>
      <c r="K35" s="2" t="s">
        <v>55</v>
      </c>
      <c r="L35" s="2" t="s">
        <v>35</v>
      </c>
      <c r="M35" s="11" t="s">
        <v>697</v>
      </c>
      <c r="P35" s="9"/>
    </row>
    <row r="36" spans="1:16" x14ac:dyDescent="0.25">
      <c r="A36" s="10">
        <v>1034</v>
      </c>
      <c r="B36" s="3">
        <v>45351</v>
      </c>
      <c r="C36" s="2" t="s">
        <v>70</v>
      </c>
      <c r="D36" s="2" t="s">
        <v>71</v>
      </c>
      <c r="E36" s="2" t="s">
        <v>82</v>
      </c>
      <c r="F36" s="2" t="s">
        <v>60</v>
      </c>
      <c r="G36" s="2">
        <v>2</v>
      </c>
      <c r="H36" s="6">
        <v>4.99</v>
      </c>
      <c r="I36" s="4">
        <f t="shared" si="0"/>
        <v>9.98</v>
      </c>
      <c r="J36" s="2" t="s">
        <v>54</v>
      </c>
      <c r="K36" s="2" t="s">
        <v>28</v>
      </c>
      <c r="L36" s="2" t="s">
        <v>35</v>
      </c>
      <c r="M36" s="11" t="s">
        <v>697</v>
      </c>
      <c r="P36" s="9"/>
    </row>
    <row r="37" spans="1:16" x14ac:dyDescent="0.25">
      <c r="A37" s="10">
        <v>1035</v>
      </c>
      <c r="B37" s="5" t="s">
        <v>697</v>
      </c>
      <c r="C37" s="2" t="s">
        <v>77</v>
      </c>
      <c r="D37" s="2" t="s">
        <v>91</v>
      </c>
      <c r="E37" s="2" t="s">
        <v>85</v>
      </c>
      <c r="F37" s="2" t="s">
        <v>26</v>
      </c>
      <c r="G37" s="2">
        <v>1</v>
      </c>
      <c r="H37" s="6">
        <v>99.99</v>
      </c>
      <c r="I37" s="4">
        <f t="shared" si="0"/>
        <v>99.99</v>
      </c>
      <c r="J37" s="2" t="s">
        <v>33</v>
      </c>
      <c r="K37" s="2" t="s">
        <v>45</v>
      </c>
      <c r="L37" s="2" t="s">
        <v>40</v>
      </c>
      <c r="M37" s="12" t="s">
        <v>63</v>
      </c>
      <c r="P37" s="9"/>
    </row>
    <row r="38" spans="1:16" x14ac:dyDescent="0.25">
      <c r="A38" s="10">
        <v>1036</v>
      </c>
      <c r="B38" s="3">
        <v>44970</v>
      </c>
      <c r="C38" s="2" t="s">
        <v>697</v>
      </c>
      <c r="D38" s="2" t="s">
        <v>114</v>
      </c>
      <c r="E38" s="2" t="s">
        <v>44</v>
      </c>
      <c r="F38" s="2" t="s">
        <v>17</v>
      </c>
      <c r="G38" s="2">
        <v>1</v>
      </c>
      <c r="H38" s="6">
        <v>15.99</v>
      </c>
      <c r="I38" s="4">
        <f t="shared" si="0"/>
        <v>15.99</v>
      </c>
      <c r="J38" s="2" t="s">
        <v>33</v>
      </c>
      <c r="K38" s="2" t="s">
        <v>34</v>
      </c>
      <c r="L38" s="2" t="s">
        <v>29</v>
      </c>
      <c r="M38" s="11" t="s">
        <v>697</v>
      </c>
    </row>
    <row r="39" spans="1:16" x14ac:dyDescent="0.25">
      <c r="A39" s="10">
        <v>1037</v>
      </c>
      <c r="B39" s="3">
        <v>45240</v>
      </c>
      <c r="C39" s="2" t="s">
        <v>42</v>
      </c>
      <c r="D39" s="2" t="s">
        <v>116</v>
      </c>
      <c r="E39" s="2" t="s">
        <v>72</v>
      </c>
      <c r="F39" s="2" t="s">
        <v>73</v>
      </c>
      <c r="G39" s="2">
        <v>1</v>
      </c>
      <c r="H39" s="6">
        <v>49.99</v>
      </c>
      <c r="I39" s="4">
        <f t="shared" si="0"/>
        <v>49.99</v>
      </c>
      <c r="J39" s="2" t="s">
        <v>27</v>
      </c>
      <c r="K39" s="2" t="s">
        <v>34</v>
      </c>
      <c r="L39" s="2" t="s">
        <v>35</v>
      </c>
      <c r="M39" s="11" t="s">
        <v>697</v>
      </c>
    </row>
    <row r="40" spans="1:16" x14ac:dyDescent="0.25">
      <c r="A40" s="10">
        <v>1038</v>
      </c>
      <c r="B40" s="5" t="s">
        <v>697</v>
      </c>
      <c r="C40" s="2" t="s">
        <v>77</v>
      </c>
      <c r="D40" s="2" t="s">
        <v>114</v>
      </c>
      <c r="E40" s="2" t="s">
        <v>39</v>
      </c>
      <c r="F40" s="2" t="s">
        <v>17</v>
      </c>
      <c r="G40" s="2">
        <v>1</v>
      </c>
      <c r="H40" s="6">
        <v>39.99</v>
      </c>
      <c r="I40" s="4">
        <f t="shared" si="0"/>
        <v>39.99</v>
      </c>
      <c r="J40" s="2" t="s">
        <v>33</v>
      </c>
      <c r="K40" s="2" t="s">
        <v>45</v>
      </c>
      <c r="L40" s="2" t="s">
        <v>40</v>
      </c>
      <c r="M40" s="11" t="s">
        <v>697</v>
      </c>
    </row>
    <row r="41" spans="1:16" x14ac:dyDescent="0.25">
      <c r="A41" s="10">
        <v>1039</v>
      </c>
      <c r="B41" s="3">
        <v>45000</v>
      </c>
      <c r="C41" s="2" t="s">
        <v>70</v>
      </c>
      <c r="D41" s="2" t="s">
        <v>88</v>
      </c>
      <c r="E41" s="2" t="s">
        <v>82</v>
      </c>
      <c r="F41" s="2" t="s">
        <v>60</v>
      </c>
      <c r="G41" s="2">
        <v>2</v>
      </c>
      <c r="H41" s="6">
        <v>4.99</v>
      </c>
      <c r="I41" s="4">
        <f t="shared" si="0"/>
        <v>9.98</v>
      </c>
      <c r="J41" s="2" t="s">
        <v>27</v>
      </c>
      <c r="K41" s="2" t="s">
        <v>34</v>
      </c>
      <c r="L41" s="2" t="s">
        <v>29</v>
      </c>
      <c r="M41" s="11" t="s">
        <v>697</v>
      </c>
    </row>
    <row r="42" spans="1:16" x14ac:dyDescent="0.25">
      <c r="A42" s="10">
        <v>1040</v>
      </c>
      <c r="B42" s="3">
        <v>45419</v>
      </c>
      <c r="C42" s="2" t="s">
        <v>77</v>
      </c>
      <c r="D42" s="2" t="s">
        <v>78</v>
      </c>
      <c r="E42" s="2" t="s">
        <v>82</v>
      </c>
      <c r="F42" s="2" t="s">
        <v>60</v>
      </c>
      <c r="G42" s="4" t="s">
        <v>697</v>
      </c>
      <c r="H42" s="6">
        <v>4.99</v>
      </c>
      <c r="I42" s="4" t="str">
        <f t="shared" si="0"/>
        <v>N/A</v>
      </c>
      <c r="J42" s="2" t="s">
        <v>19</v>
      </c>
      <c r="K42" s="2" t="s">
        <v>45</v>
      </c>
      <c r="L42" s="2" t="s">
        <v>35</v>
      </c>
      <c r="M42" s="11" t="s">
        <v>697</v>
      </c>
    </row>
    <row r="43" spans="1:16" x14ac:dyDescent="0.25">
      <c r="A43" s="10">
        <v>1041</v>
      </c>
      <c r="B43" s="3">
        <v>45305</v>
      </c>
      <c r="C43" s="2" t="s">
        <v>14</v>
      </c>
      <c r="D43" s="2" t="s">
        <v>15</v>
      </c>
      <c r="E43" s="2" t="s">
        <v>31</v>
      </c>
      <c r="F43" s="2" t="s">
        <v>32</v>
      </c>
      <c r="G43" s="2">
        <v>3</v>
      </c>
      <c r="H43" s="6">
        <v>79.989999999999995</v>
      </c>
      <c r="I43" s="4">
        <f t="shared" si="0"/>
        <v>239.96999999999997</v>
      </c>
      <c r="J43" s="2" t="s">
        <v>33</v>
      </c>
      <c r="K43" s="2" t="s">
        <v>55</v>
      </c>
      <c r="L43" s="2" t="s">
        <v>35</v>
      </c>
      <c r="M43" s="11" t="s">
        <v>697</v>
      </c>
    </row>
    <row r="44" spans="1:16" x14ac:dyDescent="0.25">
      <c r="A44" s="10">
        <v>1042</v>
      </c>
      <c r="B44" s="5" t="s">
        <v>697</v>
      </c>
      <c r="C44" s="2" t="s">
        <v>70</v>
      </c>
      <c r="D44" s="2" t="s">
        <v>88</v>
      </c>
      <c r="E44" s="2" t="s">
        <v>52</v>
      </c>
      <c r="F44" s="2" t="s">
        <v>53</v>
      </c>
      <c r="G44" s="2">
        <v>1</v>
      </c>
      <c r="H44" s="6">
        <v>59.99</v>
      </c>
      <c r="I44" s="4">
        <f t="shared" si="0"/>
        <v>59.99</v>
      </c>
      <c r="J44" s="2" t="s">
        <v>27</v>
      </c>
      <c r="K44" s="2" t="s">
        <v>45</v>
      </c>
      <c r="L44" s="2" t="s">
        <v>35</v>
      </c>
      <c r="M44" s="11" t="s">
        <v>697</v>
      </c>
    </row>
    <row r="45" spans="1:16" x14ac:dyDescent="0.25">
      <c r="A45" s="10">
        <v>1043</v>
      </c>
      <c r="B45" s="3">
        <v>45253</v>
      </c>
      <c r="C45" s="2" t="s">
        <v>65</v>
      </c>
      <c r="D45" s="2" t="s">
        <v>123</v>
      </c>
      <c r="E45" s="2" t="s">
        <v>52</v>
      </c>
      <c r="F45" s="2" t="s">
        <v>53</v>
      </c>
      <c r="G45" s="2">
        <v>1</v>
      </c>
      <c r="H45" s="6">
        <v>59.99</v>
      </c>
      <c r="I45" s="4">
        <f t="shared" si="0"/>
        <v>59.99</v>
      </c>
      <c r="J45" s="2" t="s">
        <v>33</v>
      </c>
      <c r="K45" s="2" t="s">
        <v>28</v>
      </c>
      <c r="L45" s="2" t="s">
        <v>35</v>
      </c>
      <c r="M45" s="11" t="s">
        <v>697</v>
      </c>
    </row>
    <row r="46" spans="1:16" x14ac:dyDescent="0.25">
      <c r="A46" s="10">
        <v>1044</v>
      </c>
      <c r="B46" s="5" t="s">
        <v>697</v>
      </c>
      <c r="C46" s="2" t="s">
        <v>70</v>
      </c>
      <c r="D46" s="2" t="s">
        <v>71</v>
      </c>
      <c r="E46" s="2" t="s">
        <v>92</v>
      </c>
      <c r="F46" s="2" t="s">
        <v>26</v>
      </c>
      <c r="G46" s="2">
        <v>5</v>
      </c>
      <c r="H46" s="6">
        <v>14.99</v>
      </c>
      <c r="I46" s="4">
        <f t="shared" si="0"/>
        <v>74.95</v>
      </c>
      <c r="J46" s="2" t="s">
        <v>33</v>
      </c>
      <c r="K46" s="2" t="s">
        <v>55</v>
      </c>
      <c r="L46" s="2" t="s">
        <v>40</v>
      </c>
      <c r="M46" s="11" t="s">
        <v>697</v>
      </c>
    </row>
    <row r="47" spans="1:16" x14ac:dyDescent="0.25">
      <c r="A47" s="10">
        <v>1045</v>
      </c>
      <c r="B47" s="3">
        <v>45423</v>
      </c>
      <c r="C47" s="2" t="s">
        <v>23</v>
      </c>
      <c r="D47" s="2" t="s">
        <v>124</v>
      </c>
      <c r="E47" s="2" t="s">
        <v>85</v>
      </c>
      <c r="F47" s="2" t="s">
        <v>26</v>
      </c>
      <c r="G47" s="4" t="s">
        <v>697</v>
      </c>
      <c r="H47" s="6">
        <v>99.99</v>
      </c>
      <c r="I47" s="4" t="str">
        <f t="shared" si="0"/>
        <v>N/A</v>
      </c>
      <c r="J47" s="2" t="s">
        <v>33</v>
      </c>
      <c r="K47" s="2" t="s">
        <v>28</v>
      </c>
      <c r="L47" s="2" t="s">
        <v>40</v>
      </c>
      <c r="M47" s="11" t="s">
        <v>697</v>
      </c>
    </row>
    <row r="48" spans="1:16" x14ac:dyDescent="0.25">
      <c r="A48" s="10">
        <v>1046</v>
      </c>
      <c r="B48" s="5" t="s">
        <v>697</v>
      </c>
      <c r="C48" s="2" t="s">
        <v>14</v>
      </c>
      <c r="D48" s="2" t="s">
        <v>84</v>
      </c>
      <c r="E48" s="2" t="s">
        <v>31</v>
      </c>
      <c r="F48" s="2" t="s">
        <v>32</v>
      </c>
      <c r="G48" s="4" t="s">
        <v>697</v>
      </c>
      <c r="H48" s="6">
        <v>79.989999999999995</v>
      </c>
      <c r="I48" s="4" t="str">
        <f t="shared" si="0"/>
        <v>N/A</v>
      </c>
      <c r="J48" s="2" t="s">
        <v>33</v>
      </c>
      <c r="K48" s="2" t="s">
        <v>45</v>
      </c>
      <c r="L48" s="2" t="s">
        <v>40</v>
      </c>
      <c r="M48" s="11" t="s">
        <v>697</v>
      </c>
    </row>
    <row r="49" spans="1:13" x14ac:dyDescent="0.25">
      <c r="A49" s="10">
        <v>1047</v>
      </c>
      <c r="B49" s="5" t="s">
        <v>697</v>
      </c>
      <c r="C49" s="2" t="s">
        <v>65</v>
      </c>
      <c r="D49" s="2" t="s">
        <v>126</v>
      </c>
      <c r="E49" s="2" t="s">
        <v>44</v>
      </c>
      <c r="F49" s="2" t="s">
        <v>17</v>
      </c>
      <c r="G49" s="2">
        <v>1</v>
      </c>
      <c r="H49" s="6">
        <v>15.99</v>
      </c>
      <c r="I49" s="4">
        <f t="shared" si="0"/>
        <v>15.99</v>
      </c>
      <c r="J49" s="2" t="s">
        <v>27</v>
      </c>
      <c r="K49" s="2" t="s">
        <v>45</v>
      </c>
      <c r="L49" s="2" t="s">
        <v>40</v>
      </c>
      <c r="M49" s="12" t="s">
        <v>63</v>
      </c>
    </row>
    <row r="50" spans="1:13" x14ac:dyDescent="0.25">
      <c r="A50" s="10">
        <v>1048</v>
      </c>
      <c r="B50" s="5" t="s">
        <v>697</v>
      </c>
      <c r="C50" s="2" t="s">
        <v>37</v>
      </c>
      <c r="D50" s="2" t="s">
        <v>38</v>
      </c>
      <c r="E50" s="2" t="s">
        <v>127</v>
      </c>
      <c r="F50" s="2" t="s">
        <v>73</v>
      </c>
      <c r="G50" s="2">
        <v>3</v>
      </c>
      <c r="H50" s="6">
        <v>29.99</v>
      </c>
      <c r="I50" s="4">
        <f t="shared" si="0"/>
        <v>89.97</v>
      </c>
      <c r="J50" s="2" t="s">
        <v>33</v>
      </c>
      <c r="K50" s="2" t="s">
        <v>45</v>
      </c>
      <c r="L50" s="2" t="s">
        <v>40</v>
      </c>
      <c r="M50" s="11" t="s">
        <v>697</v>
      </c>
    </row>
    <row r="51" spans="1:13" x14ac:dyDescent="0.25">
      <c r="A51" s="10">
        <v>1049</v>
      </c>
      <c r="B51" s="3">
        <v>45107</v>
      </c>
      <c r="C51" s="2" t="s">
        <v>14</v>
      </c>
      <c r="D51" s="2" t="s">
        <v>84</v>
      </c>
      <c r="E51" s="2" t="s">
        <v>72</v>
      </c>
      <c r="F51" s="2" t="s">
        <v>73</v>
      </c>
      <c r="G51" s="4" t="s">
        <v>697</v>
      </c>
      <c r="H51" s="6">
        <v>49.99</v>
      </c>
      <c r="I51" s="4" t="str">
        <f t="shared" si="0"/>
        <v>N/A</v>
      </c>
      <c r="J51" s="2" t="s">
        <v>19</v>
      </c>
      <c r="K51" s="2" t="s">
        <v>129</v>
      </c>
      <c r="L51" s="2" t="s">
        <v>29</v>
      </c>
      <c r="M51" s="11" t="s">
        <v>697</v>
      </c>
    </row>
    <row r="52" spans="1:13" x14ac:dyDescent="0.25">
      <c r="A52" s="10">
        <v>1050</v>
      </c>
      <c r="B52" s="3">
        <v>45156</v>
      </c>
      <c r="C52" s="2" t="s">
        <v>70</v>
      </c>
      <c r="D52" s="2" t="s">
        <v>131</v>
      </c>
      <c r="E52" s="2" t="s">
        <v>52</v>
      </c>
      <c r="F52" s="2" t="s">
        <v>53</v>
      </c>
      <c r="G52" s="2">
        <v>2</v>
      </c>
      <c r="H52" s="6">
        <v>59.99</v>
      </c>
      <c r="I52" s="4">
        <f t="shared" si="0"/>
        <v>119.98</v>
      </c>
      <c r="J52" s="2" t="s">
        <v>27</v>
      </c>
      <c r="K52" s="2" t="s">
        <v>55</v>
      </c>
      <c r="L52" s="2" t="s">
        <v>29</v>
      </c>
      <c r="M52" s="11" t="s">
        <v>697</v>
      </c>
    </row>
    <row r="53" spans="1:13" x14ac:dyDescent="0.25">
      <c r="A53" s="10">
        <v>1051</v>
      </c>
      <c r="B53" s="5" t="s">
        <v>697</v>
      </c>
      <c r="C53" s="2" t="s">
        <v>14</v>
      </c>
      <c r="D53" s="2" t="s">
        <v>75</v>
      </c>
      <c r="E53" s="2" t="s">
        <v>72</v>
      </c>
      <c r="F53" s="2" t="s">
        <v>73</v>
      </c>
      <c r="G53" s="4" t="s">
        <v>697</v>
      </c>
      <c r="H53" s="6">
        <v>49.99</v>
      </c>
      <c r="I53" s="4" t="str">
        <f t="shared" si="0"/>
        <v>N/A</v>
      </c>
      <c r="J53" s="2" t="s">
        <v>27</v>
      </c>
      <c r="K53" s="2" t="s">
        <v>45</v>
      </c>
      <c r="L53" s="2" t="s">
        <v>40</v>
      </c>
      <c r="M53" s="11" t="s">
        <v>697</v>
      </c>
    </row>
    <row r="54" spans="1:13" x14ac:dyDescent="0.25">
      <c r="A54" s="10">
        <v>1052</v>
      </c>
      <c r="B54" s="5" t="s">
        <v>697</v>
      </c>
      <c r="C54" s="2" t="s">
        <v>23</v>
      </c>
      <c r="D54" s="4" t="s">
        <v>697</v>
      </c>
      <c r="E54" s="2" t="s">
        <v>92</v>
      </c>
      <c r="F54" s="2" t="s">
        <v>26</v>
      </c>
      <c r="G54" s="2">
        <v>1</v>
      </c>
      <c r="H54" s="6">
        <v>14.99</v>
      </c>
      <c r="I54" s="4">
        <f t="shared" si="0"/>
        <v>14.99</v>
      </c>
      <c r="J54" s="2" t="s">
        <v>33</v>
      </c>
      <c r="K54" s="2" t="s">
        <v>28</v>
      </c>
      <c r="L54" s="2" t="s">
        <v>35</v>
      </c>
      <c r="M54" s="11" t="s">
        <v>697</v>
      </c>
    </row>
    <row r="55" spans="1:13" x14ac:dyDescent="0.25">
      <c r="A55" s="10">
        <v>1053</v>
      </c>
      <c r="B55" s="3">
        <v>45414</v>
      </c>
      <c r="C55" s="2" t="s">
        <v>65</v>
      </c>
      <c r="D55" s="2" t="s">
        <v>66</v>
      </c>
      <c r="E55" s="2" t="s">
        <v>39</v>
      </c>
      <c r="F55" s="2" t="s">
        <v>17</v>
      </c>
      <c r="G55" s="2">
        <v>1</v>
      </c>
      <c r="H55" s="6">
        <v>39.99</v>
      </c>
      <c r="I55" s="4">
        <f t="shared" si="0"/>
        <v>39.99</v>
      </c>
      <c r="J55" s="2" t="s">
        <v>33</v>
      </c>
      <c r="K55" s="2" t="s">
        <v>45</v>
      </c>
      <c r="L55" s="2" t="s">
        <v>35</v>
      </c>
      <c r="M55" s="11" t="s">
        <v>697</v>
      </c>
    </row>
    <row r="56" spans="1:13" x14ac:dyDescent="0.25">
      <c r="A56" s="10">
        <v>1054</v>
      </c>
      <c r="B56" s="3">
        <v>45225</v>
      </c>
      <c r="C56" s="2" t="s">
        <v>77</v>
      </c>
      <c r="D56" s="2" t="s">
        <v>91</v>
      </c>
      <c r="E56" s="2" t="s">
        <v>39</v>
      </c>
      <c r="F56" s="2" t="s">
        <v>17</v>
      </c>
      <c r="G56" s="2">
        <v>4</v>
      </c>
      <c r="H56" s="6">
        <v>39.99</v>
      </c>
      <c r="I56" s="4">
        <f t="shared" si="0"/>
        <v>159.96</v>
      </c>
      <c r="J56" s="2" t="s">
        <v>54</v>
      </c>
      <c r="K56" s="2" t="s">
        <v>28</v>
      </c>
      <c r="L56" s="2" t="s">
        <v>35</v>
      </c>
      <c r="M56" s="11" t="s">
        <v>697</v>
      </c>
    </row>
    <row r="57" spans="1:13" x14ac:dyDescent="0.25">
      <c r="A57" s="10">
        <v>1055</v>
      </c>
      <c r="B57" s="3">
        <v>44966</v>
      </c>
      <c r="C57" s="2" t="s">
        <v>77</v>
      </c>
      <c r="D57" s="2" t="s">
        <v>78</v>
      </c>
      <c r="E57" s="2" t="s">
        <v>85</v>
      </c>
      <c r="F57" s="2" t="s">
        <v>26</v>
      </c>
      <c r="G57" s="2">
        <v>4</v>
      </c>
      <c r="H57" s="6">
        <v>99.99</v>
      </c>
      <c r="I57" s="4">
        <f t="shared" si="0"/>
        <v>399.96</v>
      </c>
      <c r="J57" s="2" t="s">
        <v>27</v>
      </c>
      <c r="K57" s="2" t="s">
        <v>28</v>
      </c>
      <c r="L57" s="2" t="s">
        <v>35</v>
      </c>
      <c r="M57" s="11" t="s">
        <v>697</v>
      </c>
    </row>
    <row r="58" spans="1:13" x14ac:dyDescent="0.25">
      <c r="A58" s="10">
        <v>1056</v>
      </c>
      <c r="B58" s="3">
        <v>44932</v>
      </c>
      <c r="C58" s="2" t="s">
        <v>14</v>
      </c>
      <c r="D58" s="2" t="s">
        <v>15</v>
      </c>
      <c r="E58" s="2" t="s">
        <v>127</v>
      </c>
      <c r="F58" s="2" t="s">
        <v>73</v>
      </c>
      <c r="G58" s="2">
        <v>2</v>
      </c>
      <c r="H58" s="6">
        <v>29.99</v>
      </c>
      <c r="I58" s="4">
        <f t="shared" si="0"/>
        <v>59.98</v>
      </c>
      <c r="J58" s="2" t="s">
        <v>33</v>
      </c>
      <c r="K58" s="2" t="s">
        <v>34</v>
      </c>
      <c r="L58" s="2" t="s">
        <v>40</v>
      </c>
      <c r="M58" s="11" t="s">
        <v>697</v>
      </c>
    </row>
    <row r="59" spans="1:13" x14ac:dyDescent="0.25">
      <c r="A59" s="10">
        <v>1057</v>
      </c>
      <c r="B59" s="3">
        <v>45066</v>
      </c>
      <c r="C59" s="2" t="s">
        <v>77</v>
      </c>
      <c r="D59" s="2" t="s">
        <v>78</v>
      </c>
      <c r="E59" s="2" t="s">
        <v>44</v>
      </c>
      <c r="F59" s="2" t="s">
        <v>17</v>
      </c>
      <c r="G59" s="2">
        <v>1</v>
      </c>
      <c r="H59" s="6">
        <v>15.99</v>
      </c>
      <c r="I59" s="4">
        <f t="shared" si="0"/>
        <v>15.99</v>
      </c>
      <c r="J59" s="2" t="s">
        <v>54</v>
      </c>
      <c r="K59" s="2" t="s">
        <v>45</v>
      </c>
      <c r="L59" s="2" t="s">
        <v>35</v>
      </c>
      <c r="M59" s="11" t="s">
        <v>697</v>
      </c>
    </row>
    <row r="60" spans="1:13" x14ac:dyDescent="0.25">
      <c r="A60" s="10">
        <v>1058</v>
      </c>
      <c r="B60" s="3">
        <v>45270</v>
      </c>
      <c r="C60" s="2" t="s">
        <v>42</v>
      </c>
      <c r="D60" s="2" t="s">
        <v>116</v>
      </c>
      <c r="E60" s="2" t="s">
        <v>85</v>
      </c>
      <c r="F60" s="2" t="s">
        <v>26</v>
      </c>
      <c r="G60" s="2">
        <v>3</v>
      </c>
      <c r="H60" s="6">
        <v>99.99</v>
      </c>
      <c r="I60" s="4">
        <f t="shared" si="0"/>
        <v>299.96999999999997</v>
      </c>
      <c r="J60" s="2" t="s">
        <v>33</v>
      </c>
      <c r="K60" s="2" t="s">
        <v>129</v>
      </c>
      <c r="L60" s="2" t="s">
        <v>35</v>
      </c>
      <c r="M60" s="11" t="s">
        <v>697</v>
      </c>
    </row>
    <row r="61" spans="1:13" x14ac:dyDescent="0.25">
      <c r="A61" s="10">
        <v>1059</v>
      </c>
      <c r="B61" s="3">
        <v>44981</v>
      </c>
      <c r="C61" s="2" t="s">
        <v>65</v>
      </c>
      <c r="D61" s="2" t="s">
        <v>66</v>
      </c>
      <c r="E61" s="2" t="s">
        <v>127</v>
      </c>
      <c r="F61" s="2" t="s">
        <v>73</v>
      </c>
      <c r="G61" s="2">
        <v>2</v>
      </c>
      <c r="H61" s="6">
        <v>29.99</v>
      </c>
      <c r="I61" s="4">
        <f t="shared" si="0"/>
        <v>59.98</v>
      </c>
      <c r="J61" s="2" t="s">
        <v>33</v>
      </c>
      <c r="K61" s="2" t="s">
        <v>129</v>
      </c>
      <c r="L61" s="2" t="s">
        <v>40</v>
      </c>
      <c r="M61" s="11" t="s">
        <v>697</v>
      </c>
    </row>
    <row r="62" spans="1:13" x14ac:dyDescent="0.25">
      <c r="A62" s="10">
        <v>1060</v>
      </c>
      <c r="B62" s="3">
        <v>45299</v>
      </c>
      <c r="C62" s="2" t="s">
        <v>42</v>
      </c>
      <c r="D62" s="2" t="s">
        <v>116</v>
      </c>
      <c r="E62" s="2" t="s">
        <v>31</v>
      </c>
      <c r="F62" s="2" t="s">
        <v>32</v>
      </c>
      <c r="G62" s="2">
        <v>2</v>
      </c>
      <c r="H62" s="6">
        <v>79.989999999999995</v>
      </c>
      <c r="I62" s="4">
        <f t="shared" si="0"/>
        <v>159.97999999999999</v>
      </c>
      <c r="J62" s="2" t="s">
        <v>19</v>
      </c>
      <c r="K62" s="2" t="s">
        <v>34</v>
      </c>
      <c r="L62" s="2" t="s">
        <v>35</v>
      </c>
      <c r="M62" s="11" t="s">
        <v>697</v>
      </c>
    </row>
    <row r="63" spans="1:13" x14ac:dyDescent="0.25">
      <c r="A63" s="10">
        <v>1061</v>
      </c>
      <c r="B63" s="3">
        <v>45082</v>
      </c>
      <c r="C63" s="2" t="s">
        <v>65</v>
      </c>
      <c r="D63" s="2" t="s">
        <v>126</v>
      </c>
      <c r="E63" s="2" t="s">
        <v>82</v>
      </c>
      <c r="F63" s="2" t="s">
        <v>60</v>
      </c>
      <c r="G63" s="4" t="s">
        <v>697</v>
      </c>
      <c r="H63" s="6">
        <v>4.99</v>
      </c>
      <c r="I63" s="4" t="str">
        <f t="shared" si="0"/>
        <v>N/A</v>
      </c>
      <c r="J63" s="2" t="s">
        <v>27</v>
      </c>
      <c r="K63" s="2" t="s">
        <v>34</v>
      </c>
      <c r="L63" s="2" t="s">
        <v>35</v>
      </c>
      <c r="M63" s="11" t="s">
        <v>697</v>
      </c>
    </row>
    <row r="64" spans="1:13" x14ac:dyDescent="0.25">
      <c r="A64" s="10">
        <v>1062</v>
      </c>
      <c r="B64" s="3">
        <v>45297</v>
      </c>
      <c r="C64" s="2" t="s">
        <v>70</v>
      </c>
      <c r="D64" s="2" t="s">
        <v>88</v>
      </c>
      <c r="E64" s="2" t="s">
        <v>52</v>
      </c>
      <c r="F64" s="2" t="s">
        <v>53</v>
      </c>
      <c r="G64" s="2">
        <v>2</v>
      </c>
      <c r="H64" s="6">
        <v>59.99</v>
      </c>
      <c r="I64" s="4">
        <f t="shared" si="0"/>
        <v>119.98</v>
      </c>
      <c r="J64" s="2" t="s">
        <v>33</v>
      </c>
      <c r="K64" s="2" t="s">
        <v>28</v>
      </c>
      <c r="L64" s="2" t="s">
        <v>40</v>
      </c>
      <c r="M64" s="11" t="s">
        <v>697</v>
      </c>
    </row>
    <row r="65" spans="1:13" x14ac:dyDescent="0.25">
      <c r="A65" s="10">
        <v>1063</v>
      </c>
      <c r="B65" s="5" t="s">
        <v>697</v>
      </c>
      <c r="C65" s="2" t="s">
        <v>42</v>
      </c>
      <c r="D65" s="2" t="s">
        <v>48</v>
      </c>
      <c r="E65" s="2" t="s">
        <v>92</v>
      </c>
      <c r="F65" s="2" t="s">
        <v>26</v>
      </c>
      <c r="G65" s="2">
        <v>3</v>
      </c>
      <c r="H65" s="6">
        <v>14.99</v>
      </c>
      <c r="I65" s="4">
        <f t="shared" si="0"/>
        <v>44.97</v>
      </c>
      <c r="J65" s="2" t="s">
        <v>33</v>
      </c>
      <c r="K65" s="2" t="s">
        <v>45</v>
      </c>
      <c r="L65" s="2" t="s">
        <v>35</v>
      </c>
      <c r="M65" s="11" t="s">
        <v>697</v>
      </c>
    </row>
    <row r="66" spans="1:13" x14ac:dyDescent="0.25">
      <c r="A66" s="10">
        <v>1064</v>
      </c>
      <c r="B66" s="3">
        <v>45119</v>
      </c>
      <c r="C66" s="2" t="s">
        <v>65</v>
      </c>
      <c r="D66" s="2" t="s">
        <v>66</v>
      </c>
      <c r="E66" s="2" t="s">
        <v>82</v>
      </c>
      <c r="F66" s="2" t="s">
        <v>60</v>
      </c>
      <c r="G66" s="2">
        <v>2</v>
      </c>
      <c r="H66" s="6">
        <v>4.99</v>
      </c>
      <c r="I66" s="4">
        <f t="shared" si="0"/>
        <v>9.98</v>
      </c>
      <c r="J66" s="2" t="s">
        <v>33</v>
      </c>
      <c r="K66" s="2" t="s">
        <v>45</v>
      </c>
      <c r="L66" s="2" t="s">
        <v>35</v>
      </c>
      <c r="M66" s="11" t="s">
        <v>697</v>
      </c>
    </row>
    <row r="67" spans="1:13" x14ac:dyDescent="0.25">
      <c r="A67" s="10">
        <v>1065</v>
      </c>
      <c r="B67" s="3">
        <v>45120</v>
      </c>
      <c r="C67" s="2" t="s">
        <v>70</v>
      </c>
      <c r="D67" s="2" t="s">
        <v>131</v>
      </c>
      <c r="E67" s="2" t="s">
        <v>52</v>
      </c>
      <c r="F67" s="2" t="s">
        <v>53</v>
      </c>
      <c r="G67" s="2">
        <v>5</v>
      </c>
      <c r="H67" s="6">
        <v>59.99</v>
      </c>
      <c r="I67" s="4">
        <f t="shared" ref="I67:I130" si="1">IF(G67="N/A","N/A",PRODUCT(G67,H67))</f>
        <v>299.95</v>
      </c>
      <c r="J67" s="2" t="s">
        <v>19</v>
      </c>
      <c r="K67" s="2" t="s">
        <v>28</v>
      </c>
      <c r="L67" s="2" t="s">
        <v>40</v>
      </c>
      <c r="M67" s="11" t="s">
        <v>697</v>
      </c>
    </row>
    <row r="68" spans="1:13" x14ac:dyDescent="0.25">
      <c r="A68" s="10">
        <v>1066</v>
      </c>
      <c r="B68" s="3">
        <v>44948</v>
      </c>
      <c r="C68" s="2" t="s">
        <v>23</v>
      </c>
      <c r="D68" s="2" t="s">
        <v>81</v>
      </c>
      <c r="E68" s="2" t="s">
        <v>82</v>
      </c>
      <c r="F68" s="2" t="s">
        <v>60</v>
      </c>
      <c r="G68" s="2">
        <v>2</v>
      </c>
      <c r="H68" s="6">
        <v>4.99</v>
      </c>
      <c r="I68" s="4">
        <f t="shared" si="1"/>
        <v>9.98</v>
      </c>
      <c r="J68" s="2" t="s">
        <v>33</v>
      </c>
      <c r="K68" s="2" t="s">
        <v>55</v>
      </c>
      <c r="L68" s="2" t="s">
        <v>35</v>
      </c>
      <c r="M68" s="11" t="s">
        <v>697</v>
      </c>
    </row>
    <row r="69" spans="1:13" x14ac:dyDescent="0.25">
      <c r="A69" s="10">
        <v>1067</v>
      </c>
      <c r="B69" s="3">
        <v>45365</v>
      </c>
      <c r="C69" s="2" t="s">
        <v>697</v>
      </c>
      <c r="D69" s="2" t="s">
        <v>131</v>
      </c>
      <c r="E69" s="2" t="s">
        <v>127</v>
      </c>
      <c r="F69" s="2" t="s">
        <v>73</v>
      </c>
      <c r="G69" s="2">
        <v>4</v>
      </c>
      <c r="H69" s="6">
        <v>29.99</v>
      </c>
      <c r="I69" s="4">
        <f t="shared" si="1"/>
        <v>119.96</v>
      </c>
      <c r="J69" s="2" t="s">
        <v>27</v>
      </c>
      <c r="K69" s="2" t="s">
        <v>28</v>
      </c>
      <c r="L69" s="2" t="s">
        <v>35</v>
      </c>
      <c r="M69" s="11" t="s">
        <v>697</v>
      </c>
    </row>
    <row r="70" spans="1:13" x14ac:dyDescent="0.25">
      <c r="A70" s="10">
        <v>1068</v>
      </c>
      <c r="B70" s="3">
        <v>45328</v>
      </c>
      <c r="C70" s="2" t="s">
        <v>37</v>
      </c>
      <c r="D70" s="2" t="s">
        <v>38</v>
      </c>
      <c r="E70" s="2" t="s">
        <v>82</v>
      </c>
      <c r="F70" s="2" t="s">
        <v>60</v>
      </c>
      <c r="G70" s="2">
        <v>3</v>
      </c>
      <c r="H70" s="6">
        <v>4.99</v>
      </c>
      <c r="I70" s="4">
        <f t="shared" si="1"/>
        <v>14.97</v>
      </c>
      <c r="J70" s="2" t="s">
        <v>33</v>
      </c>
      <c r="K70" s="2" t="s">
        <v>45</v>
      </c>
      <c r="L70" s="2" t="s">
        <v>35</v>
      </c>
      <c r="M70" s="11" t="s">
        <v>697</v>
      </c>
    </row>
    <row r="71" spans="1:13" x14ac:dyDescent="0.25">
      <c r="A71" s="10">
        <v>1069</v>
      </c>
      <c r="B71" s="3">
        <v>45280</v>
      </c>
      <c r="C71" s="2" t="s">
        <v>70</v>
      </c>
      <c r="D71" s="2" t="s">
        <v>71</v>
      </c>
      <c r="E71" s="2" t="s">
        <v>39</v>
      </c>
      <c r="F71" s="2" t="s">
        <v>17</v>
      </c>
      <c r="G71" s="4" t="s">
        <v>697</v>
      </c>
      <c r="H71" s="6">
        <v>39.99</v>
      </c>
      <c r="I71" s="4" t="str">
        <f t="shared" si="1"/>
        <v>N/A</v>
      </c>
      <c r="J71" s="2" t="s">
        <v>54</v>
      </c>
      <c r="K71" s="2" t="s">
        <v>28</v>
      </c>
      <c r="L71" s="2" t="s">
        <v>35</v>
      </c>
      <c r="M71" s="11" t="s">
        <v>697</v>
      </c>
    </row>
    <row r="72" spans="1:13" x14ac:dyDescent="0.25">
      <c r="A72" s="10">
        <v>1070</v>
      </c>
      <c r="B72" s="5" t="s">
        <v>697</v>
      </c>
      <c r="C72" s="2" t="s">
        <v>42</v>
      </c>
      <c r="D72" s="2" t="s">
        <v>48</v>
      </c>
      <c r="E72" s="2" t="s">
        <v>44</v>
      </c>
      <c r="F72" s="2" t="s">
        <v>17</v>
      </c>
      <c r="G72" s="4" t="s">
        <v>697</v>
      </c>
      <c r="H72" s="6">
        <v>15.99</v>
      </c>
      <c r="I72" s="4" t="str">
        <f t="shared" si="1"/>
        <v>N/A</v>
      </c>
      <c r="J72" s="2" t="s">
        <v>19</v>
      </c>
      <c r="K72" s="2" t="s">
        <v>28</v>
      </c>
      <c r="L72" s="2" t="s">
        <v>35</v>
      </c>
      <c r="M72" s="11" t="s">
        <v>697</v>
      </c>
    </row>
    <row r="73" spans="1:13" x14ac:dyDescent="0.25">
      <c r="A73" s="10">
        <v>1071</v>
      </c>
      <c r="B73" s="3">
        <v>45170</v>
      </c>
      <c r="C73" s="2" t="s">
        <v>70</v>
      </c>
      <c r="D73" s="2" t="s">
        <v>131</v>
      </c>
      <c r="E73" s="2" t="s">
        <v>39</v>
      </c>
      <c r="F73" s="2" t="s">
        <v>17</v>
      </c>
      <c r="G73" s="4" t="s">
        <v>697</v>
      </c>
      <c r="H73" s="6">
        <v>39.99</v>
      </c>
      <c r="I73" s="4" t="str">
        <f t="shared" si="1"/>
        <v>N/A</v>
      </c>
      <c r="J73" s="2" t="s">
        <v>19</v>
      </c>
      <c r="K73" s="2" t="s">
        <v>129</v>
      </c>
      <c r="L73" s="2" t="s">
        <v>35</v>
      </c>
      <c r="M73" s="11" t="s">
        <v>697</v>
      </c>
    </row>
    <row r="74" spans="1:13" x14ac:dyDescent="0.25">
      <c r="A74" s="10">
        <v>1072</v>
      </c>
      <c r="B74" s="5" t="s">
        <v>697</v>
      </c>
      <c r="C74" s="2" t="s">
        <v>23</v>
      </c>
      <c r="D74" s="2" t="s">
        <v>124</v>
      </c>
      <c r="E74" s="2" t="s">
        <v>44</v>
      </c>
      <c r="F74" s="2" t="s">
        <v>17</v>
      </c>
      <c r="G74" s="2">
        <v>1</v>
      </c>
      <c r="H74" s="6">
        <v>15.99</v>
      </c>
      <c r="I74" s="4">
        <f t="shared" si="1"/>
        <v>15.99</v>
      </c>
      <c r="J74" s="2" t="s">
        <v>54</v>
      </c>
      <c r="K74" s="2" t="s">
        <v>55</v>
      </c>
      <c r="L74" s="2" t="s">
        <v>35</v>
      </c>
      <c r="M74" s="11" t="s">
        <v>697</v>
      </c>
    </row>
    <row r="75" spans="1:13" x14ac:dyDescent="0.25">
      <c r="A75" s="10">
        <v>1073</v>
      </c>
      <c r="B75" s="3">
        <v>44974</v>
      </c>
      <c r="C75" s="2" t="s">
        <v>23</v>
      </c>
      <c r="D75" s="2" t="s">
        <v>124</v>
      </c>
      <c r="E75" s="2" t="s">
        <v>44</v>
      </c>
      <c r="F75" s="2" t="s">
        <v>17</v>
      </c>
      <c r="G75" s="2">
        <v>1</v>
      </c>
      <c r="H75" s="6">
        <v>15.99</v>
      </c>
      <c r="I75" s="4">
        <f t="shared" si="1"/>
        <v>15.99</v>
      </c>
      <c r="J75" s="2" t="s">
        <v>33</v>
      </c>
      <c r="K75" s="2" t="s">
        <v>28</v>
      </c>
      <c r="L75" s="2" t="s">
        <v>35</v>
      </c>
      <c r="M75" s="11" t="s">
        <v>697</v>
      </c>
    </row>
    <row r="76" spans="1:13" x14ac:dyDescent="0.25">
      <c r="A76" s="10">
        <v>1074</v>
      </c>
      <c r="B76" s="3">
        <v>45264</v>
      </c>
      <c r="C76" s="2" t="s">
        <v>65</v>
      </c>
      <c r="D76" s="2" t="s">
        <v>126</v>
      </c>
      <c r="E76" s="2" t="s">
        <v>72</v>
      </c>
      <c r="F76" s="2" t="s">
        <v>73</v>
      </c>
      <c r="G76" s="2">
        <v>3</v>
      </c>
      <c r="H76" s="6">
        <v>49.99</v>
      </c>
      <c r="I76" s="4">
        <f t="shared" si="1"/>
        <v>149.97</v>
      </c>
      <c r="J76" s="2" t="s">
        <v>33</v>
      </c>
      <c r="K76" s="2" t="s">
        <v>28</v>
      </c>
      <c r="L76" s="2" t="s">
        <v>35</v>
      </c>
      <c r="M76" s="11" t="s">
        <v>697</v>
      </c>
    </row>
    <row r="77" spans="1:13" x14ac:dyDescent="0.25">
      <c r="A77" s="10">
        <v>1075</v>
      </c>
      <c r="B77" s="5" t="s">
        <v>697</v>
      </c>
      <c r="C77" s="2" t="s">
        <v>23</v>
      </c>
      <c r="D77" s="2" t="s">
        <v>124</v>
      </c>
      <c r="E77" s="2" t="s">
        <v>52</v>
      </c>
      <c r="F77" s="2" t="s">
        <v>53</v>
      </c>
      <c r="G77" s="2">
        <v>5</v>
      </c>
      <c r="H77" s="6">
        <v>59.99</v>
      </c>
      <c r="I77" s="4">
        <f t="shared" si="1"/>
        <v>299.95</v>
      </c>
      <c r="J77" s="2" t="s">
        <v>33</v>
      </c>
      <c r="K77" s="2" t="s">
        <v>28</v>
      </c>
      <c r="L77" s="2" t="s">
        <v>35</v>
      </c>
      <c r="M77" s="11" t="s">
        <v>697</v>
      </c>
    </row>
    <row r="78" spans="1:13" x14ac:dyDescent="0.25">
      <c r="A78" s="10">
        <v>1076</v>
      </c>
      <c r="B78" s="3">
        <v>45244</v>
      </c>
      <c r="C78" s="2" t="s">
        <v>65</v>
      </c>
      <c r="D78" s="2" t="s">
        <v>66</v>
      </c>
      <c r="E78" s="2" t="s">
        <v>72</v>
      </c>
      <c r="F78" s="2" t="s">
        <v>73</v>
      </c>
      <c r="G78" s="4" t="s">
        <v>697</v>
      </c>
      <c r="H78" s="6">
        <v>49.99</v>
      </c>
      <c r="I78" s="4" t="str">
        <f t="shared" si="1"/>
        <v>N/A</v>
      </c>
      <c r="J78" s="2" t="s">
        <v>27</v>
      </c>
      <c r="K78" s="2" t="s">
        <v>28</v>
      </c>
      <c r="L78" s="2" t="s">
        <v>35</v>
      </c>
      <c r="M78" s="11" t="s">
        <v>697</v>
      </c>
    </row>
    <row r="79" spans="1:13" x14ac:dyDescent="0.25">
      <c r="A79" s="10">
        <v>1077</v>
      </c>
      <c r="B79" s="3">
        <v>45163</v>
      </c>
      <c r="C79" s="2" t="s">
        <v>70</v>
      </c>
      <c r="D79" s="2" t="s">
        <v>131</v>
      </c>
      <c r="E79" s="2" t="s">
        <v>31</v>
      </c>
      <c r="F79" s="2" t="s">
        <v>32</v>
      </c>
      <c r="G79" s="2">
        <v>2</v>
      </c>
      <c r="H79" s="6">
        <v>79.989999999999995</v>
      </c>
      <c r="I79" s="4">
        <f t="shared" si="1"/>
        <v>159.97999999999999</v>
      </c>
      <c r="J79" s="2" t="s">
        <v>27</v>
      </c>
      <c r="K79" s="2" t="s">
        <v>129</v>
      </c>
      <c r="L79" s="2" t="s">
        <v>35</v>
      </c>
      <c r="M79" s="11" t="s">
        <v>697</v>
      </c>
    </row>
    <row r="80" spans="1:13" x14ac:dyDescent="0.25">
      <c r="A80" s="10">
        <v>1078</v>
      </c>
      <c r="B80" s="3">
        <v>45021</v>
      </c>
      <c r="C80" s="2" t="s">
        <v>42</v>
      </c>
      <c r="D80" s="2" t="s">
        <v>116</v>
      </c>
      <c r="E80" s="2" t="s">
        <v>39</v>
      </c>
      <c r="F80" s="2" t="s">
        <v>17</v>
      </c>
      <c r="G80" s="2">
        <v>1</v>
      </c>
      <c r="H80" s="6">
        <v>39.99</v>
      </c>
      <c r="I80" s="4">
        <f t="shared" si="1"/>
        <v>39.99</v>
      </c>
      <c r="J80" s="2" t="s">
        <v>19</v>
      </c>
      <c r="K80" s="2" t="s">
        <v>45</v>
      </c>
      <c r="L80" s="2" t="s">
        <v>35</v>
      </c>
      <c r="M80" s="11" t="s">
        <v>697</v>
      </c>
    </row>
    <row r="81" spans="1:13" x14ac:dyDescent="0.25">
      <c r="A81" s="10">
        <v>1079</v>
      </c>
      <c r="B81" s="3">
        <v>45180</v>
      </c>
      <c r="C81" s="2" t="s">
        <v>77</v>
      </c>
      <c r="D81" s="2" t="s">
        <v>91</v>
      </c>
      <c r="E81" s="2" t="s">
        <v>31</v>
      </c>
      <c r="F81" s="2" t="s">
        <v>32</v>
      </c>
      <c r="G81" s="2">
        <v>2</v>
      </c>
      <c r="H81" s="6">
        <v>79.989999999999995</v>
      </c>
      <c r="I81" s="4">
        <f t="shared" si="1"/>
        <v>159.97999999999999</v>
      </c>
      <c r="J81" s="2" t="s">
        <v>54</v>
      </c>
      <c r="K81" s="2" t="s">
        <v>28</v>
      </c>
      <c r="L81" s="2" t="s">
        <v>35</v>
      </c>
      <c r="M81" s="11" t="s">
        <v>697</v>
      </c>
    </row>
    <row r="82" spans="1:13" x14ac:dyDescent="0.25">
      <c r="A82" s="10">
        <v>1080</v>
      </c>
      <c r="B82" s="3">
        <v>45278</v>
      </c>
      <c r="C82" s="2" t="s">
        <v>70</v>
      </c>
      <c r="D82" s="2" t="s">
        <v>131</v>
      </c>
      <c r="E82" s="2" t="s">
        <v>72</v>
      </c>
      <c r="F82" s="2" t="s">
        <v>73</v>
      </c>
      <c r="G82" s="2">
        <v>2</v>
      </c>
      <c r="H82" s="6">
        <v>49.99</v>
      </c>
      <c r="I82" s="4">
        <f t="shared" si="1"/>
        <v>99.98</v>
      </c>
      <c r="J82" s="2" t="s">
        <v>33</v>
      </c>
      <c r="K82" s="2" t="s">
        <v>129</v>
      </c>
      <c r="L82" s="2" t="s">
        <v>29</v>
      </c>
      <c r="M82" s="11" t="s">
        <v>697</v>
      </c>
    </row>
    <row r="83" spans="1:13" x14ac:dyDescent="0.25">
      <c r="A83" s="10">
        <v>1081</v>
      </c>
      <c r="B83" s="3">
        <v>45323</v>
      </c>
      <c r="C83" s="2" t="s">
        <v>14</v>
      </c>
      <c r="D83" s="2" t="s">
        <v>15</v>
      </c>
      <c r="E83" s="2" t="s">
        <v>85</v>
      </c>
      <c r="F83" s="2" t="s">
        <v>26</v>
      </c>
      <c r="G83" s="4" t="s">
        <v>697</v>
      </c>
      <c r="H83" s="6">
        <v>99.99</v>
      </c>
      <c r="I83" s="4" t="str">
        <f t="shared" si="1"/>
        <v>N/A</v>
      </c>
      <c r="J83" s="2" t="s">
        <v>54</v>
      </c>
      <c r="K83" s="2" t="s">
        <v>34</v>
      </c>
      <c r="L83" s="2" t="s">
        <v>35</v>
      </c>
      <c r="M83" s="11" t="s">
        <v>697</v>
      </c>
    </row>
    <row r="84" spans="1:13" x14ac:dyDescent="0.25">
      <c r="A84" s="10">
        <v>1082</v>
      </c>
      <c r="B84" s="3">
        <v>45092</v>
      </c>
      <c r="C84" s="2" t="s">
        <v>37</v>
      </c>
      <c r="D84" s="2" t="s">
        <v>162</v>
      </c>
      <c r="E84" s="2" t="s">
        <v>92</v>
      </c>
      <c r="F84" s="2" t="s">
        <v>26</v>
      </c>
      <c r="G84" s="2">
        <v>4</v>
      </c>
      <c r="H84" s="6">
        <v>14.99</v>
      </c>
      <c r="I84" s="4">
        <f t="shared" si="1"/>
        <v>59.96</v>
      </c>
      <c r="J84" s="2" t="s">
        <v>27</v>
      </c>
      <c r="K84" s="2" t="s">
        <v>45</v>
      </c>
      <c r="L84" s="2" t="s">
        <v>40</v>
      </c>
      <c r="M84" s="11" t="s">
        <v>697</v>
      </c>
    </row>
    <row r="85" spans="1:13" x14ac:dyDescent="0.25">
      <c r="A85" s="10">
        <v>1083</v>
      </c>
      <c r="B85" s="3">
        <v>45205</v>
      </c>
      <c r="C85" s="2" t="s">
        <v>42</v>
      </c>
      <c r="D85" s="2" t="s">
        <v>116</v>
      </c>
      <c r="E85" s="2" t="s">
        <v>82</v>
      </c>
      <c r="F85" s="2" t="s">
        <v>60</v>
      </c>
      <c r="G85" s="2">
        <v>3</v>
      </c>
      <c r="H85" s="6">
        <v>4.99</v>
      </c>
      <c r="I85" s="4">
        <f t="shared" si="1"/>
        <v>14.97</v>
      </c>
      <c r="J85" s="2" t="s">
        <v>33</v>
      </c>
      <c r="K85" s="2" t="s">
        <v>34</v>
      </c>
      <c r="L85" s="2" t="s">
        <v>35</v>
      </c>
      <c r="M85" s="11" t="s">
        <v>697</v>
      </c>
    </row>
    <row r="86" spans="1:13" x14ac:dyDescent="0.25">
      <c r="A86" s="10">
        <v>1084</v>
      </c>
      <c r="B86" s="5" t="s">
        <v>697</v>
      </c>
      <c r="C86" s="2" t="s">
        <v>23</v>
      </c>
      <c r="D86" s="2" t="s">
        <v>24</v>
      </c>
      <c r="E86" s="2" t="s">
        <v>92</v>
      </c>
      <c r="F86" s="2" t="s">
        <v>26</v>
      </c>
      <c r="G86" s="2">
        <v>1</v>
      </c>
      <c r="H86" s="6">
        <v>14.99</v>
      </c>
      <c r="I86" s="4">
        <f t="shared" si="1"/>
        <v>14.99</v>
      </c>
      <c r="J86" s="2" t="s">
        <v>33</v>
      </c>
      <c r="K86" s="2" t="s">
        <v>129</v>
      </c>
      <c r="L86" s="2" t="s">
        <v>35</v>
      </c>
      <c r="M86" s="11" t="s">
        <v>697</v>
      </c>
    </row>
    <row r="87" spans="1:13" x14ac:dyDescent="0.25">
      <c r="A87" s="10">
        <v>1085</v>
      </c>
      <c r="B87" s="3">
        <v>44988</v>
      </c>
      <c r="C87" s="2" t="s">
        <v>37</v>
      </c>
      <c r="D87" s="2" t="s">
        <v>162</v>
      </c>
      <c r="E87" s="2" t="s">
        <v>39</v>
      </c>
      <c r="F87" s="2" t="s">
        <v>17</v>
      </c>
      <c r="G87" s="2">
        <v>3</v>
      </c>
      <c r="H87" s="6">
        <v>39.99</v>
      </c>
      <c r="I87" s="4">
        <f t="shared" si="1"/>
        <v>119.97</v>
      </c>
      <c r="J87" s="2" t="s">
        <v>33</v>
      </c>
      <c r="K87" s="2" t="s">
        <v>129</v>
      </c>
      <c r="L87" s="2" t="s">
        <v>40</v>
      </c>
      <c r="M87" s="11" t="s">
        <v>697</v>
      </c>
    </row>
    <row r="88" spans="1:13" x14ac:dyDescent="0.25">
      <c r="A88" s="10">
        <v>1086</v>
      </c>
      <c r="B88" s="3">
        <v>45421</v>
      </c>
      <c r="C88" s="2" t="s">
        <v>37</v>
      </c>
      <c r="D88" s="4" t="s">
        <v>697</v>
      </c>
      <c r="E88" s="2" t="s">
        <v>85</v>
      </c>
      <c r="F88" s="2" t="s">
        <v>26</v>
      </c>
      <c r="G88" s="2">
        <v>3</v>
      </c>
      <c r="H88" s="6">
        <v>99.99</v>
      </c>
      <c r="I88" s="4">
        <f t="shared" si="1"/>
        <v>299.96999999999997</v>
      </c>
      <c r="J88" s="2" t="s">
        <v>54</v>
      </c>
      <c r="K88" s="2" t="s">
        <v>28</v>
      </c>
      <c r="L88" s="2" t="s">
        <v>35</v>
      </c>
      <c r="M88" s="11" t="s">
        <v>697</v>
      </c>
    </row>
    <row r="89" spans="1:13" x14ac:dyDescent="0.25">
      <c r="A89" s="10">
        <v>1087</v>
      </c>
      <c r="B89" s="3">
        <v>45318</v>
      </c>
      <c r="C89" s="2" t="s">
        <v>70</v>
      </c>
      <c r="D89" s="2" t="s">
        <v>71</v>
      </c>
      <c r="E89" s="2" t="s">
        <v>92</v>
      </c>
      <c r="F89" s="2" t="s">
        <v>26</v>
      </c>
      <c r="G89" s="2">
        <v>1</v>
      </c>
      <c r="H89" s="6">
        <v>14.99</v>
      </c>
      <c r="I89" s="4">
        <f t="shared" si="1"/>
        <v>14.99</v>
      </c>
      <c r="J89" s="2" t="s">
        <v>33</v>
      </c>
      <c r="K89" s="2" t="s">
        <v>34</v>
      </c>
      <c r="L89" s="2" t="s">
        <v>29</v>
      </c>
      <c r="M89" s="11" t="s">
        <v>697</v>
      </c>
    </row>
    <row r="90" spans="1:13" x14ac:dyDescent="0.25">
      <c r="A90" s="10">
        <v>1088</v>
      </c>
      <c r="B90" s="5" t="s">
        <v>697</v>
      </c>
      <c r="C90" s="2" t="s">
        <v>697</v>
      </c>
      <c r="D90" s="2" t="s">
        <v>131</v>
      </c>
      <c r="E90" s="2" t="s">
        <v>85</v>
      </c>
      <c r="F90" s="2" t="s">
        <v>26</v>
      </c>
      <c r="G90" s="2">
        <v>3</v>
      </c>
      <c r="H90" s="6">
        <v>99.99</v>
      </c>
      <c r="I90" s="4">
        <f t="shared" si="1"/>
        <v>299.96999999999997</v>
      </c>
      <c r="J90" s="2" t="s">
        <v>33</v>
      </c>
      <c r="K90" s="2" t="s">
        <v>28</v>
      </c>
      <c r="L90" s="2" t="s">
        <v>40</v>
      </c>
      <c r="M90" s="11" t="s">
        <v>697</v>
      </c>
    </row>
    <row r="91" spans="1:13" x14ac:dyDescent="0.25">
      <c r="A91" s="10">
        <v>1089</v>
      </c>
      <c r="B91" s="3">
        <v>45301</v>
      </c>
      <c r="C91" s="2" t="s">
        <v>697</v>
      </c>
      <c r="D91" s="2" t="s">
        <v>91</v>
      </c>
      <c r="E91" s="2" t="s">
        <v>52</v>
      </c>
      <c r="F91" s="2" t="s">
        <v>53</v>
      </c>
      <c r="G91" s="2">
        <v>2</v>
      </c>
      <c r="H91" s="6">
        <v>59.99</v>
      </c>
      <c r="I91" s="4">
        <f t="shared" si="1"/>
        <v>119.98</v>
      </c>
      <c r="J91" s="2" t="s">
        <v>19</v>
      </c>
      <c r="K91" s="2" t="s">
        <v>129</v>
      </c>
      <c r="L91" s="2" t="s">
        <v>29</v>
      </c>
      <c r="M91" s="11" t="s">
        <v>697</v>
      </c>
    </row>
    <row r="92" spans="1:13" x14ac:dyDescent="0.25">
      <c r="A92" s="10">
        <v>1090</v>
      </c>
      <c r="B92" s="5" t="s">
        <v>697</v>
      </c>
      <c r="C92" s="2" t="s">
        <v>65</v>
      </c>
      <c r="D92" s="2" t="s">
        <v>126</v>
      </c>
      <c r="E92" s="2" t="s">
        <v>85</v>
      </c>
      <c r="F92" s="2" t="s">
        <v>26</v>
      </c>
      <c r="G92" s="2">
        <v>3</v>
      </c>
      <c r="H92" s="6">
        <v>99.99</v>
      </c>
      <c r="I92" s="4">
        <f t="shared" si="1"/>
        <v>299.96999999999997</v>
      </c>
      <c r="J92" s="2" t="s">
        <v>33</v>
      </c>
      <c r="K92" s="2" t="s">
        <v>34</v>
      </c>
      <c r="L92" s="2" t="s">
        <v>29</v>
      </c>
      <c r="M92" s="11" t="s">
        <v>697</v>
      </c>
    </row>
    <row r="93" spans="1:13" x14ac:dyDescent="0.25">
      <c r="A93" s="10">
        <v>1091</v>
      </c>
      <c r="B93" s="5" t="s">
        <v>697</v>
      </c>
      <c r="C93" s="2" t="s">
        <v>37</v>
      </c>
      <c r="D93" s="2" t="s">
        <v>162</v>
      </c>
      <c r="E93" s="2" t="s">
        <v>39</v>
      </c>
      <c r="F93" s="2" t="s">
        <v>17</v>
      </c>
      <c r="G93" s="4" t="s">
        <v>697</v>
      </c>
      <c r="H93" s="6">
        <v>39.99</v>
      </c>
      <c r="I93" s="4" t="str">
        <f t="shared" si="1"/>
        <v>N/A</v>
      </c>
      <c r="J93" s="2" t="s">
        <v>19</v>
      </c>
      <c r="K93" s="2" t="s">
        <v>28</v>
      </c>
      <c r="L93" s="2" t="s">
        <v>29</v>
      </c>
      <c r="M93" s="11" t="s">
        <v>697</v>
      </c>
    </row>
    <row r="94" spans="1:13" x14ac:dyDescent="0.25">
      <c r="A94" s="10">
        <v>1092</v>
      </c>
      <c r="B94" s="3">
        <v>45245</v>
      </c>
      <c r="C94" s="2" t="s">
        <v>65</v>
      </c>
      <c r="D94" s="2" t="s">
        <v>126</v>
      </c>
      <c r="E94" s="2" t="s">
        <v>72</v>
      </c>
      <c r="F94" s="2" t="s">
        <v>73</v>
      </c>
      <c r="G94" s="2">
        <v>1</v>
      </c>
      <c r="H94" s="6">
        <v>49.99</v>
      </c>
      <c r="I94" s="4">
        <f t="shared" si="1"/>
        <v>49.99</v>
      </c>
      <c r="J94" s="2" t="s">
        <v>33</v>
      </c>
      <c r="K94" s="2" t="s">
        <v>129</v>
      </c>
      <c r="L94" s="2" t="s">
        <v>35</v>
      </c>
      <c r="M94" s="11" t="s">
        <v>697</v>
      </c>
    </row>
    <row r="95" spans="1:13" x14ac:dyDescent="0.25">
      <c r="A95" s="10">
        <v>1093</v>
      </c>
      <c r="B95" s="3">
        <v>45187</v>
      </c>
      <c r="C95" s="2" t="s">
        <v>42</v>
      </c>
      <c r="D95" s="4" t="s">
        <v>697</v>
      </c>
      <c r="E95" s="2" t="s">
        <v>82</v>
      </c>
      <c r="F95" s="2" t="s">
        <v>60</v>
      </c>
      <c r="G95" s="2">
        <v>5</v>
      </c>
      <c r="H95" s="6">
        <v>4.99</v>
      </c>
      <c r="I95" s="4">
        <f t="shared" si="1"/>
        <v>24.950000000000003</v>
      </c>
      <c r="J95" s="2" t="s">
        <v>33</v>
      </c>
      <c r="K95" s="2" t="s">
        <v>129</v>
      </c>
      <c r="L95" s="2" t="s">
        <v>35</v>
      </c>
      <c r="M95" s="11" t="s">
        <v>697</v>
      </c>
    </row>
    <row r="96" spans="1:13" x14ac:dyDescent="0.25">
      <c r="A96" s="10">
        <v>1094</v>
      </c>
      <c r="B96" s="5" t="s">
        <v>697</v>
      </c>
      <c r="C96" s="2" t="s">
        <v>37</v>
      </c>
      <c r="D96" s="2" t="s">
        <v>169</v>
      </c>
      <c r="E96" s="2" t="s">
        <v>85</v>
      </c>
      <c r="F96" s="2" t="s">
        <v>26</v>
      </c>
      <c r="G96" s="2">
        <v>1</v>
      </c>
      <c r="H96" s="6">
        <v>99.99</v>
      </c>
      <c r="I96" s="4">
        <f t="shared" si="1"/>
        <v>99.99</v>
      </c>
      <c r="J96" s="2" t="s">
        <v>54</v>
      </c>
      <c r="K96" s="2" t="s">
        <v>28</v>
      </c>
      <c r="L96" s="2" t="s">
        <v>29</v>
      </c>
      <c r="M96" s="11" t="s">
        <v>697</v>
      </c>
    </row>
    <row r="97" spans="1:13" x14ac:dyDescent="0.25">
      <c r="A97" s="10">
        <v>1095</v>
      </c>
      <c r="B97" s="5" t="s">
        <v>697</v>
      </c>
      <c r="C97" s="2" t="s">
        <v>70</v>
      </c>
      <c r="D97" s="2" t="s">
        <v>71</v>
      </c>
      <c r="E97" s="2" t="s">
        <v>31</v>
      </c>
      <c r="F97" s="2" t="s">
        <v>32</v>
      </c>
      <c r="G97" s="2">
        <v>2</v>
      </c>
      <c r="H97" s="6">
        <v>79.989999999999995</v>
      </c>
      <c r="I97" s="4">
        <f t="shared" si="1"/>
        <v>159.97999999999999</v>
      </c>
      <c r="J97" s="2" t="s">
        <v>33</v>
      </c>
      <c r="K97" s="2" t="s">
        <v>28</v>
      </c>
      <c r="L97" s="2" t="s">
        <v>29</v>
      </c>
      <c r="M97" s="11" t="s">
        <v>697</v>
      </c>
    </row>
    <row r="98" spans="1:13" x14ac:dyDescent="0.25">
      <c r="A98" s="10">
        <v>1096</v>
      </c>
      <c r="B98" s="3">
        <v>45055</v>
      </c>
      <c r="C98" s="2" t="s">
        <v>42</v>
      </c>
      <c r="D98" s="2" t="s">
        <v>43</v>
      </c>
      <c r="E98" s="2" t="s">
        <v>127</v>
      </c>
      <c r="F98" s="2" t="s">
        <v>73</v>
      </c>
      <c r="G98" s="4" t="s">
        <v>697</v>
      </c>
      <c r="H98" s="6">
        <v>29.99</v>
      </c>
      <c r="I98" s="4" t="str">
        <f t="shared" si="1"/>
        <v>N/A</v>
      </c>
      <c r="J98" s="2" t="s">
        <v>27</v>
      </c>
      <c r="K98" s="2" t="s">
        <v>55</v>
      </c>
      <c r="L98" s="2" t="s">
        <v>35</v>
      </c>
      <c r="M98" s="11" t="s">
        <v>697</v>
      </c>
    </row>
    <row r="99" spans="1:13" x14ac:dyDescent="0.25">
      <c r="A99" s="10">
        <v>1097</v>
      </c>
      <c r="B99" s="3">
        <v>45140</v>
      </c>
      <c r="C99" s="2" t="s">
        <v>77</v>
      </c>
      <c r="D99" s="2" t="s">
        <v>91</v>
      </c>
      <c r="E99" s="2" t="s">
        <v>39</v>
      </c>
      <c r="F99" s="2" t="s">
        <v>17</v>
      </c>
      <c r="G99" s="2">
        <v>4</v>
      </c>
      <c r="H99" s="6">
        <v>39.99</v>
      </c>
      <c r="I99" s="4">
        <f t="shared" si="1"/>
        <v>159.96</v>
      </c>
      <c r="J99" s="2" t="s">
        <v>33</v>
      </c>
      <c r="K99" s="2" t="s">
        <v>28</v>
      </c>
      <c r="L99" s="2" t="s">
        <v>29</v>
      </c>
      <c r="M99" s="11" t="s">
        <v>697</v>
      </c>
    </row>
    <row r="100" spans="1:13" x14ac:dyDescent="0.25">
      <c r="A100" s="10">
        <v>1098</v>
      </c>
      <c r="B100" s="3">
        <v>45220</v>
      </c>
      <c r="C100" s="2" t="s">
        <v>23</v>
      </c>
      <c r="D100" s="2" t="s">
        <v>81</v>
      </c>
      <c r="E100" s="2" t="s">
        <v>72</v>
      </c>
      <c r="F100" s="2" t="s">
        <v>73</v>
      </c>
      <c r="G100" s="4" t="s">
        <v>697</v>
      </c>
      <c r="H100" s="6">
        <v>49.99</v>
      </c>
      <c r="I100" s="4" t="str">
        <f t="shared" si="1"/>
        <v>N/A</v>
      </c>
      <c r="J100" s="2" t="s">
        <v>27</v>
      </c>
      <c r="K100" s="2" t="s">
        <v>129</v>
      </c>
      <c r="L100" s="2" t="s">
        <v>40</v>
      </c>
      <c r="M100" s="11" t="s">
        <v>697</v>
      </c>
    </row>
    <row r="101" spans="1:13" x14ac:dyDescent="0.25">
      <c r="A101" s="10">
        <v>1099</v>
      </c>
      <c r="B101" s="3">
        <v>44957</v>
      </c>
      <c r="C101" s="2" t="s">
        <v>65</v>
      </c>
      <c r="D101" s="2" t="s">
        <v>123</v>
      </c>
      <c r="E101" s="2" t="s">
        <v>82</v>
      </c>
      <c r="F101" s="2" t="s">
        <v>60</v>
      </c>
      <c r="G101" s="4" t="s">
        <v>697</v>
      </c>
      <c r="H101" s="6">
        <v>4.99</v>
      </c>
      <c r="I101" s="4" t="str">
        <f t="shared" si="1"/>
        <v>N/A</v>
      </c>
      <c r="J101" s="2" t="s">
        <v>54</v>
      </c>
      <c r="K101" s="2" t="s">
        <v>28</v>
      </c>
      <c r="L101" s="2" t="s">
        <v>35</v>
      </c>
      <c r="M101" s="11" t="s">
        <v>697</v>
      </c>
    </row>
    <row r="102" spans="1:13" x14ac:dyDescent="0.25">
      <c r="A102" s="10">
        <v>1100</v>
      </c>
      <c r="B102" s="3">
        <v>45345</v>
      </c>
      <c r="C102" s="2" t="s">
        <v>14</v>
      </c>
      <c r="D102" s="2" t="s">
        <v>84</v>
      </c>
      <c r="E102" s="2" t="s">
        <v>39</v>
      </c>
      <c r="F102" s="2" t="s">
        <v>17</v>
      </c>
      <c r="G102" s="2">
        <v>5</v>
      </c>
      <c r="H102" s="6">
        <v>39.99</v>
      </c>
      <c r="I102" s="4">
        <f t="shared" si="1"/>
        <v>199.95000000000002</v>
      </c>
      <c r="J102" s="2" t="s">
        <v>33</v>
      </c>
      <c r="K102" s="2" t="s">
        <v>55</v>
      </c>
      <c r="L102" s="2" t="s">
        <v>35</v>
      </c>
      <c r="M102" s="11" t="s">
        <v>697</v>
      </c>
    </row>
    <row r="103" spans="1:13" x14ac:dyDescent="0.25">
      <c r="A103" s="10">
        <v>1101</v>
      </c>
      <c r="B103" s="3">
        <v>45309</v>
      </c>
      <c r="C103" s="2" t="s">
        <v>65</v>
      </c>
      <c r="D103" s="2" t="s">
        <v>126</v>
      </c>
      <c r="E103" s="2" t="s">
        <v>127</v>
      </c>
      <c r="F103" s="2" t="s">
        <v>73</v>
      </c>
      <c r="G103" s="2">
        <v>3</v>
      </c>
      <c r="H103" s="6">
        <v>29.99</v>
      </c>
      <c r="I103" s="4">
        <f t="shared" si="1"/>
        <v>89.97</v>
      </c>
      <c r="J103" s="2" t="s">
        <v>27</v>
      </c>
      <c r="K103" s="2" t="s">
        <v>45</v>
      </c>
      <c r="L103" s="2" t="s">
        <v>35</v>
      </c>
      <c r="M103" s="11" t="s">
        <v>697</v>
      </c>
    </row>
    <row r="104" spans="1:13" x14ac:dyDescent="0.25">
      <c r="A104" s="10">
        <v>1102</v>
      </c>
      <c r="B104" s="5" t="s">
        <v>697</v>
      </c>
      <c r="C104" s="2" t="s">
        <v>42</v>
      </c>
      <c r="D104" s="2" t="s">
        <v>116</v>
      </c>
      <c r="E104" s="2" t="s">
        <v>39</v>
      </c>
      <c r="F104" s="2" t="s">
        <v>17</v>
      </c>
      <c r="G104" s="4" t="s">
        <v>697</v>
      </c>
      <c r="H104" s="6">
        <v>39.99</v>
      </c>
      <c r="I104" s="4" t="str">
        <f t="shared" si="1"/>
        <v>N/A</v>
      </c>
      <c r="J104" s="2" t="s">
        <v>27</v>
      </c>
      <c r="K104" s="2" t="s">
        <v>28</v>
      </c>
      <c r="L104" s="2" t="s">
        <v>35</v>
      </c>
      <c r="M104" s="11" t="s">
        <v>697</v>
      </c>
    </row>
    <row r="105" spans="1:13" x14ac:dyDescent="0.25">
      <c r="A105" s="10">
        <v>1103</v>
      </c>
      <c r="B105" s="5" t="s">
        <v>697</v>
      </c>
      <c r="C105" s="2" t="s">
        <v>14</v>
      </c>
      <c r="D105" s="2" t="s">
        <v>75</v>
      </c>
      <c r="E105" s="2" t="s">
        <v>82</v>
      </c>
      <c r="F105" s="2" t="s">
        <v>60</v>
      </c>
      <c r="G105" s="4" t="s">
        <v>697</v>
      </c>
      <c r="H105" s="6">
        <v>4.99</v>
      </c>
      <c r="I105" s="4" t="str">
        <f t="shared" si="1"/>
        <v>N/A</v>
      </c>
      <c r="J105" s="2" t="s">
        <v>33</v>
      </c>
      <c r="K105" s="2" t="s">
        <v>28</v>
      </c>
      <c r="L105" s="2" t="s">
        <v>29</v>
      </c>
      <c r="M105" s="11" t="s">
        <v>697</v>
      </c>
    </row>
    <row r="106" spans="1:13" x14ac:dyDescent="0.25">
      <c r="A106" s="10">
        <v>1104</v>
      </c>
      <c r="B106" s="3">
        <v>45050</v>
      </c>
      <c r="C106" s="2" t="s">
        <v>37</v>
      </c>
      <c r="D106" s="2" t="s">
        <v>169</v>
      </c>
      <c r="E106" s="2" t="s">
        <v>92</v>
      </c>
      <c r="F106" s="2" t="s">
        <v>26</v>
      </c>
      <c r="G106" s="2">
        <v>5</v>
      </c>
      <c r="H106" s="6">
        <v>14.99</v>
      </c>
      <c r="I106" s="4">
        <f t="shared" si="1"/>
        <v>74.95</v>
      </c>
      <c r="J106" s="2" t="s">
        <v>33</v>
      </c>
      <c r="K106" s="2" t="s">
        <v>28</v>
      </c>
      <c r="L106" s="2" t="s">
        <v>29</v>
      </c>
      <c r="M106" s="11" t="s">
        <v>697</v>
      </c>
    </row>
    <row r="107" spans="1:13" x14ac:dyDescent="0.25">
      <c r="A107" s="10">
        <v>1105</v>
      </c>
      <c r="B107" s="3">
        <v>45140</v>
      </c>
      <c r="C107" s="2" t="s">
        <v>65</v>
      </c>
      <c r="D107" s="2" t="s">
        <v>123</v>
      </c>
      <c r="E107" s="2" t="s">
        <v>44</v>
      </c>
      <c r="F107" s="2" t="s">
        <v>17</v>
      </c>
      <c r="G107" s="2">
        <v>1</v>
      </c>
      <c r="H107" s="6">
        <v>15.99</v>
      </c>
      <c r="I107" s="4">
        <f t="shared" si="1"/>
        <v>15.99</v>
      </c>
      <c r="J107" s="2" t="s">
        <v>33</v>
      </c>
      <c r="K107" s="2" t="s">
        <v>45</v>
      </c>
      <c r="L107" s="2" t="s">
        <v>29</v>
      </c>
      <c r="M107" s="11" t="s">
        <v>697</v>
      </c>
    </row>
    <row r="108" spans="1:13" x14ac:dyDescent="0.25">
      <c r="A108" s="10">
        <v>1106</v>
      </c>
      <c r="B108" s="3">
        <v>45311</v>
      </c>
      <c r="C108" s="2" t="s">
        <v>65</v>
      </c>
      <c r="D108" s="2" t="s">
        <v>126</v>
      </c>
      <c r="E108" s="2" t="s">
        <v>127</v>
      </c>
      <c r="F108" s="2" t="s">
        <v>73</v>
      </c>
      <c r="G108" s="2">
        <v>5</v>
      </c>
      <c r="H108" s="6">
        <v>29.99</v>
      </c>
      <c r="I108" s="4">
        <f t="shared" si="1"/>
        <v>149.94999999999999</v>
      </c>
      <c r="J108" s="2" t="s">
        <v>27</v>
      </c>
      <c r="K108" s="2" t="s">
        <v>45</v>
      </c>
      <c r="L108" s="2" t="s">
        <v>40</v>
      </c>
      <c r="M108" s="11" t="s">
        <v>697</v>
      </c>
    </row>
    <row r="109" spans="1:13" x14ac:dyDescent="0.25">
      <c r="A109" s="10">
        <v>1107</v>
      </c>
      <c r="B109" s="5" t="s">
        <v>697</v>
      </c>
      <c r="C109" s="2" t="s">
        <v>697</v>
      </c>
      <c r="D109" s="2" t="s">
        <v>88</v>
      </c>
      <c r="E109" s="2" t="s">
        <v>82</v>
      </c>
      <c r="F109" s="2" t="s">
        <v>60</v>
      </c>
      <c r="G109" s="2">
        <v>1</v>
      </c>
      <c r="H109" s="6">
        <v>4.99</v>
      </c>
      <c r="I109" s="4">
        <f t="shared" si="1"/>
        <v>4.99</v>
      </c>
      <c r="J109" s="2" t="s">
        <v>33</v>
      </c>
      <c r="K109" s="2" t="s">
        <v>129</v>
      </c>
      <c r="L109" s="2" t="s">
        <v>40</v>
      </c>
      <c r="M109" s="11" t="s">
        <v>697</v>
      </c>
    </row>
    <row r="110" spans="1:13" x14ac:dyDescent="0.25">
      <c r="A110" s="10">
        <v>1108</v>
      </c>
      <c r="B110" s="5" t="s">
        <v>697</v>
      </c>
      <c r="C110" s="2" t="s">
        <v>14</v>
      </c>
      <c r="D110" s="2" t="s">
        <v>15</v>
      </c>
      <c r="E110" s="2" t="s">
        <v>44</v>
      </c>
      <c r="F110" s="2" t="s">
        <v>17</v>
      </c>
      <c r="G110" s="2">
        <v>5</v>
      </c>
      <c r="H110" s="6">
        <v>15.99</v>
      </c>
      <c r="I110" s="4">
        <f t="shared" si="1"/>
        <v>79.95</v>
      </c>
      <c r="J110" s="2" t="s">
        <v>54</v>
      </c>
      <c r="K110" s="2" t="s">
        <v>28</v>
      </c>
      <c r="L110" s="2" t="s">
        <v>40</v>
      </c>
      <c r="M110" s="11" t="s">
        <v>697</v>
      </c>
    </row>
    <row r="111" spans="1:13" x14ac:dyDescent="0.25">
      <c r="A111" s="10">
        <v>1109</v>
      </c>
      <c r="B111" s="3">
        <v>45043</v>
      </c>
      <c r="C111" s="2" t="s">
        <v>70</v>
      </c>
      <c r="D111" s="2" t="s">
        <v>88</v>
      </c>
      <c r="E111" s="2" t="s">
        <v>72</v>
      </c>
      <c r="F111" s="2" t="s">
        <v>73</v>
      </c>
      <c r="G111" s="2">
        <v>1</v>
      </c>
      <c r="H111" s="6">
        <v>49.99</v>
      </c>
      <c r="I111" s="4">
        <f t="shared" si="1"/>
        <v>49.99</v>
      </c>
      <c r="J111" s="2" t="s">
        <v>27</v>
      </c>
      <c r="K111" s="2" t="s">
        <v>28</v>
      </c>
      <c r="L111" s="2" t="s">
        <v>40</v>
      </c>
      <c r="M111" s="11" t="s">
        <v>697</v>
      </c>
    </row>
    <row r="112" spans="1:13" x14ac:dyDescent="0.25">
      <c r="A112" s="10">
        <v>1110</v>
      </c>
      <c r="B112" s="3">
        <v>45138</v>
      </c>
      <c r="C112" s="2" t="s">
        <v>14</v>
      </c>
      <c r="D112" s="2" t="s">
        <v>84</v>
      </c>
      <c r="E112" s="2" t="s">
        <v>92</v>
      </c>
      <c r="F112" s="2" t="s">
        <v>26</v>
      </c>
      <c r="G112" s="2">
        <v>2</v>
      </c>
      <c r="H112" s="6">
        <v>14.99</v>
      </c>
      <c r="I112" s="4">
        <f t="shared" si="1"/>
        <v>29.98</v>
      </c>
      <c r="J112" s="2" t="s">
        <v>33</v>
      </c>
      <c r="K112" s="2" t="s">
        <v>34</v>
      </c>
      <c r="L112" s="2" t="s">
        <v>35</v>
      </c>
      <c r="M112" s="11" t="s">
        <v>697</v>
      </c>
    </row>
    <row r="113" spans="1:13" x14ac:dyDescent="0.25">
      <c r="A113" s="10">
        <v>1111</v>
      </c>
      <c r="B113" s="5" t="s">
        <v>697</v>
      </c>
      <c r="C113" s="2" t="s">
        <v>14</v>
      </c>
      <c r="D113" s="2" t="s">
        <v>75</v>
      </c>
      <c r="E113" s="2" t="s">
        <v>92</v>
      </c>
      <c r="F113" s="2" t="s">
        <v>26</v>
      </c>
      <c r="G113" s="2">
        <v>1</v>
      </c>
      <c r="H113" s="6">
        <v>14.99</v>
      </c>
      <c r="I113" s="4">
        <f t="shared" si="1"/>
        <v>14.99</v>
      </c>
      <c r="J113" s="2" t="s">
        <v>33</v>
      </c>
      <c r="K113" s="2" t="s">
        <v>34</v>
      </c>
      <c r="L113" s="2" t="s">
        <v>35</v>
      </c>
      <c r="M113" s="11" t="s">
        <v>697</v>
      </c>
    </row>
    <row r="114" spans="1:13" x14ac:dyDescent="0.25">
      <c r="A114" s="10">
        <v>1112</v>
      </c>
      <c r="B114" s="3">
        <v>45243</v>
      </c>
      <c r="C114" s="2" t="s">
        <v>77</v>
      </c>
      <c r="D114" s="2" t="s">
        <v>78</v>
      </c>
      <c r="E114" s="2" t="s">
        <v>52</v>
      </c>
      <c r="F114" s="2" t="s">
        <v>53</v>
      </c>
      <c r="G114" s="4" t="s">
        <v>697</v>
      </c>
      <c r="H114" s="6">
        <v>59.99</v>
      </c>
      <c r="I114" s="4" t="str">
        <f t="shared" si="1"/>
        <v>N/A</v>
      </c>
      <c r="J114" s="2" t="s">
        <v>33</v>
      </c>
      <c r="K114" s="2" t="s">
        <v>55</v>
      </c>
      <c r="L114" s="2" t="s">
        <v>35</v>
      </c>
      <c r="M114" s="11" t="s">
        <v>697</v>
      </c>
    </row>
    <row r="115" spans="1:13" x14ac:dyDescent="0.25">
      <c r="A115" s="10">
        <v>1113</v>
      </c>
      <c r="B115" s="3">
        <v>45398</v>
      </c>
      <c r="C115" s="2" t="s">
        <v>697</v>
      </c>
      <c r="D115" s="4" t="s">
        <v>697</v>
      </c>
      <c r="E115" s="2" t="s">
        <v>31</v>
      </c>
      <c r="F115" s="2" t="s">
        <v>32</v>
      </c>
      <c r="G115" s="2">
        <v>1</v>
      </c>
      <c r="H115" s="6">
        <v>79.989999999999995</v>
      </c>
      <c r="I115" s="4">
        <f t="shared" si="1"/>
        <v>79.989999999999995</v>
      </c>
      <c r="J115" s="2" t="s">
        <v>33</v>
      </c>
      <c r="K115" s="2" t="s">
        <v>28</v>
      </c>
      <c r="L115" s="2" t="s">
        <v>35</v>
      </c>
      <c r="M115" s="11" t="s">
        <v>697</v>
      </c>
    </row>
    <row r="116" spans="1:13" x14ac:dyDescent="0.25">
      <c r="A116" s="10">
        <v>1114</v>
      </c>
      <c r="B116" s="3">
        <v>45367</v>
      </c>
      <c r="C116" s="2" t="s">
        <v>14</v>
      </c>
      <c r="D116" s="2" t="s">
        <v>75</v>
      </c>
      <c r="E116" s="2" t="s">
        <v>92</v>
      </c>
      <c r="F116" s="2" t="s">
        <v>26</v>
      </c>
      <c r="G116" s="2">
        <v>1</v>
      </c>
      <c r="H116" s="6">
        <v>14.99</v>
      </c>
      <c r="I116" s="4">
        <f t="shared" si="1"/>
        <v>14.99</v>
      </c>
      <c r="J116" s="2" t="s">
        <v>33</v>
      </c>
      <c r="K116" s="2" t="s">
        <v>28</v>
      </c>
      <c r="L116" s="2" t="s">
        <v>35</v>
      </c>
      <c r="M116" s="11" t="s">
        <v>697</v>
      </c>
    </row>
    <row r="117" spans="1:13" x14ac:dyDescent="0.25">
      <c r="A117" s="10">
        <v>1115</v>
      </c>
      <c r="B117" s="3">
        <v>45359</v>
      </c>
      <c r="C117" s="2" t="s">
        <v>23</v>
      </c>
      <c r="D117" s="2" t="s">
        <v>24</v>
      </c>
      <c r="E117" s="2" t="s">
        <v>44</v>
      </c>
      <c r="F117" s="2" t="s">
        <v>17</v>
      </c>
      <c r="G117" s="2">
        <v>1</v>
      </c>
      <c r="H117" s="6">
        <v>15.99</v>
      </c>
      <c r="I117" s="4">
        <f t="shared" si="1"/>
        <v>15.99</v>
      </c>
      <c r="J117" s="2" t="s">
        <v>33</v>
      </c>
      <c r="K117" s="2" t="s">
        <v>28</v>
      </c>
      <c r="L117" s="2" t="s">
        <v>35</v>
      </c>
      <c r="M117" s="11" t="s">
        <v>697</v>
      </c>
    </row>
    <row r="118" spans="1:13" x14ac:dyDescent="0.25">
      <c r="A118" s="10">
        <v>1116</v>
      </c>
      <c r="B118" s="5" t="s">
        <v>697</v>
      </c>
      <c r="C118" s="2" t="s">
        <v>70</v>
      </c>
      <c r="D118" s="2" t="s">
        <v>88</v>
      </c>
      <c r="E118" s="2" t="s">
        <v>127</v>
      </c>
      <c r="F118" s="2" t="s">
        <v>73</v>
      </c>
      <c r="G118" s="2">
        <v>1</v>
      </c>
      <c r="H118" s="6">
        <v>29.99</v>
      </c>
      <c r="I118" s="4">
        <f t="shared" si="1"/>
        <v>29.99</v>
      </c>
      <c r="J118" s="2" t="s">
        <v>54</v>
      </c>
      <c r="K118" s="2" t="s">
        <v>129</v>
      </c>
      <c r="L118" s="2" t="s">
        <v>29</v>
      </c>
      <c r="M118" s="11" t="s">
        <v>697</v>
      </c>
    </row>
    <row r="119" spans="1:13" x14ac:dyDescent="0.25">
      <c r="A119" s="10">
        <v>1117</v>
      </c>
      <c r="B119" s="3">
        <v>44962</v>
      </c>
      <c r="C119" s="2" t="s">
        <v>42</v>
      </c>
      <c r="D119" s="2" t="s">
        <v>116</v>
      </c>
      <c r="E119" s="2" t="s">
        <v>52</v>
      </c>
      <c r="F119" s="2" t="s">
        <v>53</v>
      </c>
      <c r="G119" s="2">
        <v>1</v>
      </c>
      <c r="H119" s="6">
        <v>59.99</v>
      </c>
      <c r="I119" s="4">
        <f t="shared" si="1"/>
        <v>59.99</v>
      </c>
      <c r="J119" s="2" t="s">
        <v>33</v>
      </c>
      <c r="K119" s="2" t="s">
        <v>34</v>
      </c>
      <c r="L119" s="2" t="s">
        <v>35</v>
      </c>
      <c r="M119" s="11" t="s">
        <v>697</v>
      </c>
    </row>
    <row r="120" spans="1:13" x14ac:dyDescent="0.25">
      <c r="A120" s="10">
        <v>1118</v>
      </c>
      <c r="B120" s="3">
        <v>45389</v>
      </c>
      <c r="C120" s="2" t="s">
        <v>14</v>
      </c>
      <c r="D120" s="2" t="s">
        <v>75</v>
      </c>
      <c r="E120" s="2" t="s">
        <v>31</v>
      </c>
      <c r="F120" s="2" t="s">
        <v>32</v>
      </c>
      <c r="G120" s="2">
        <v>1</v>
      </c>
      <c r="H120" s="6">
        <v>79.989999999999995</v>
      </c>
      <c r="I120" s="4">
        <f t="shared" si="1"/>
        <v>79.989999999999995</v>
      </c>
      <c r="J120" s="2" t="s">
        <v>33</v>
      </c>
      <c r="K120" s="2" t="s">
        <v>45</v>
      </c>
      <c r="L120" s="2" t="s">
        <v>40</v>
      </c>
      <c r="M120" s="11" t="s">
        <v>697</v>
      </c>
    </row>
    <row r="121" spans="1:13" x14ac:dyDescent="0.25">
      <c r="A121" s="10">
        <v>1119</v>
      </c>
      <c r="B121" s="3">
        <v>45107</v>
      </c>
      <c r="C121" s="2" t="s">
        <v>14</v>
      </c>
      <c r="D121" s="2" t="s">
        <v>84</v>
      </c>
      <c r="E121" s="2" t="s">
        <v>72</v>
      </c>
      <c r="F121" s="2" t="s">
        <v>73</v>
      </c>
      <c r="G121" s="2">
        <v>3</v>
      </c>
      <c r="H121" s="6">
        <v>49.99</v>
      </c>
      <c r="I121" s="4">
        <f t="shared" si="1"/>
        <v>149.97</v>
      </c>
      <c r="J121" s="2" t="s">
        <v>54</v>
      </c>
      <c r="K121" s="2" t="s">
        <v>34</v>
      </c>
      <c r="L121" s="2" t="s">
        <v>35</v>
      </c>
      <c r="M121" s="11" t="s">
        <v>697</v>
      </c>
    </row>
    <row r="122" spans="1:13" x14ac:dyDescent="0.25">
      <c r="A122" s="10">
        <v>1120</v>
      </c>
      <c r="B122" s="3">
        <v>45223</v>
      </c>
      <c r="C122" s="2" t="s">
        <v>14</v>
      </c>
      <c r="D122" s="4" t="s">
        <v>697</v>
      </c>
      <c r="E122" s="2" t="s">
        <v>85</v>
      </c>
      <c r="F122" s="2" t="s">
        <v>26</v>
      </c>
      <c r="G122" s="2">
        <v>5</v>
      </c>
      <c r="H122" s="6">
        <v>99.99</v>
      </c>
      <c r="I122" s="4">
        <f t="shared" si="1"/>
        <v>499.95</v>
      </c>
      <c r="J122" s="2" t="s">
        <v>33</v>
      </c>
      <c r="K122" s="2" t="s">
        <v>28</v>
      </c>
      <c r="L122" s="2" t="s">
        <v>35</v>
      </c>
      <c r="M122" s="11" t="s">
        <v>697</v>
      </c>
    </row>
    <row r="123" spans="1:13" x14ac:dyDescent="0.25">
      <c r="A123" s="10">
        <v>1121</v>
      </c>
      <c r="B123" s="3">
        <v>45385</v>
      </c>
      <c r="C123" s="2" t="s">
        <v>65</v>
      </c>
      <c r="D123" s="2" t="s">
        <v>66</v>
      </c>
      <c r="E123" s="2" t="s">
        <v>85</v>
      </c>
      <c r="F123" s="2" t="s">
        <v>26</v>
      </c>
      <c r="G123" s="2">
        <v>2</v>
      </c>
      <c r="H123" s="6">
        <v>99.99</v>
      </c>
      <c r="I123" s="4">
        <f t="shared" si="1"/>
        <v>199.98</v>
      </c>
      <c r="J123" s="2" t="s">
        <v>33</v>
      </c>
      <c r="K123" s="2" t="s">
        <v>28</v>
      </c>
      <c r="L123" s="2" t="s">
        <v>29</v>
      </c>
      <c r="M123" s="11" t="s">
        <v>697</v>
      </c>
    </row>
    <row r="124" spans="1:13" x14ac:dyDescent="0.25">
      <c r="A124" s="10">
        <v>1122</v>
      </c>
      <c r="B124" s="5" t="s">
        <v>697</v>
      </c>
      <c r="C124" s="2" t="s">
        <v>37</v>
      </c>
      <c r="D124" s="2" t="s">
        <v>169</v>
      </c>
      <c r="E124" s="2" t="s">
        <v>82</v>
      </c>
      <c r="F124" s="2" t="s">
        <v>60</v>
      </c>
      <c r="G124" s="2">
        <v>1</v>
      </c>
      <c r="H124" s="6">
        <v>4.99</v>
      </c>
      <c r="I124" s="4">
        <f t="shared" si="1"/>
        <v>4.99</v>
      </c>
      <c r="J124" s="2" t="s">
        <v>33</v>
      </c>
      <c r="K124" s="2" t="s">
        <v>28</v>
      </c>
      <c r="L124" s="2" t="s">
        <v>40</v>
      </c>
      <c r="M124" s="11" t="s">
        <v>697</v>
      </c>
    </row>
    <row r="125" spans="1:13" x14ac:dyDescent="0.25">
      <c r="A125" s="10">
        <v>1123</v>
      </c>
      <c r="B125" s="3">
        <v>45211</v>
      </c>
      <c r="C125" s="2" t="s">
        <v>65</v>
      </c>
      <c r="D125" s="2" t="s">
        <v>126</v>
      </c>
      <c r="E125" s="2" t="s">
        <v>82</v>
      </c>
      <c r="F125" s="2" t="s">
        <v>60</v>
      </c>
      <c r="G125" s="2">
        <v>1</v>
      </c>
      <c r="H125" s="6">
        <v>4.99</v>
      </c>
      <c r="I125" s="4">
        <f t="shared" si="1"/>
        <v>4.99</v>
      </c>
      <c r="J125" s="2" t="s">
        <v>33</v>
      </c>
      <c r="K125" s="2" t="s">
        <v>28</v>
      </c>
      <c r="L125" s="2" t="s">
        <v>35</v>
      </c>
      <c r="M125" s="11" t="s">
        <v>697</v>
      </c>
    </row>
    <row r="126" spans="1:13" x14ac:dyDescent="0.25">
      <c r="A126" s="10">
        <v>1124</v>
      </c>
      <c r="B126" s="3">
        <v>44958</v>
      </c>
      <c r="C126" s="2" t="s">
        <v>23</v>
      </c>
      <c r="D126" s="2" t="s">
        <v>124</v>
      </c>
      <c r="E126" s="2" t="s">
        <v>82</v>
      </c>
      <c r="F126" s="2" t="s">
        <v>60</v>
      </c>
      <c r="G126" s="2">
        <v>2</v>
      </c>
      <c r="H126" s="6">
        <v>4.99</v>
      </c>
      <c r="I126" s="4">
        <f t="shared" si="1"/>
        <v>9.98</v>
      </c>
      <c r="J126" s="2" t="s">
        <v>33</v>
      </c>
      <c r="K126" s="2" t="s">
        <v>28</v>
      </c>
      <c r="L126" s="2" t="s">
        <v>35</v>
      </c>
      <c r="M126" s="11" t="s">
        <v>697</v>
      </c>
    </row>
    <row r="127" spans="1:13" x14ac:dyDescent="0.25">
      <c r="A127" s="10">
        <v>1125</v>
      </c>
      <c r="B127" s="3">
        <v>45029</v>
      </c>
      <c r="C127" s="2" t="s">
        <v>65</v>
      </c>
      <c r="D127" s="2" t="s">
        <v>123</v>
      </c>
      <c r="E127" s="2" t="s">
        <v>31</v>
      </c>
      <c r="F127" s="2" t="s">
        <v>32</v>
      </c>
      <c r="G127" s="2">
        <v>5</v>
      </c>
      <c r="H127" s="6">
        <v>79.989999999999995</v>
      </c>
      <c r="I127" s="4">
        <f t="shared" si="1"/>
        <v>399.95</v>
      </c>
      <c r="J127" s="2" t="s">
        <v>33</v>
      </c>
      <c r="K127" s="2" t="s">
        <v>28</v>
      </c>
      <c r="L127" s="2" t="s">
        <v>35</v>
      </c>
      <c r="M127" s="12" t="s">
        <v>63</v>
      </c>
    </row>
    <row r="128" spans="1:13" x14ac:dyDescent="0.25">
      <c r="A128" s="10">
        <v>1126</v>
      </c>
      <c r="B128" s="5" t="s">
        <v>697</v>
      </c>
      <c r="C128" s="2" t="s">
        <v>14</v>
      </c>
      <c r="D128" s="2" t="s">
        <v>15</v>
      </c>
      <c r="E128" s="2" t="s">
        <v>85</v>
      </c>
      <c r="F128" s="2" t="s">
        <v>26</v>
      </c>
      <c r="G128" s="2">
        <v>2</v>
      </c>
      <c r="H128" s="6">
        <v>99.99</v>
      </c>
      <c r="I128" s="4">
        <f t="shared" si="1"/>
        <v>199.98</v>
      </c>
      <c r="J128" s="2" t="s">
        <v>27</v>
      </c>
      <c r="K128" s="2" t="s">
        <v>45</v>
      </c>
      <c r="L128" s="2" t="s">
        <v>35</v>
      </c>
      <c r="M128" s="11" t="s">
        <v>697</v>
      </c>
    </row>
    <row r="129" spans="1:13" x14ac:dyDescent="0.25">
      <c r="A129" s="10">
        <v>1127</v>
      </c>
      <c r="B129" s="5" t="s">
        <v>697</v>
      </c>
      <c r="C129" s="2" t="s">
        <v>14</v>
      </c>
      <c r="D129" s="2" t="s">
        <v>15</v>
      </c>
      <c r="E129" s="2" t="s">
        <v>52</v>
      </c>
      <c r="F129" s="2" t="s">
        <v>53</v>
      </c>
      <c r="G129" s="2">
        <v>3</v>
      </c>
      <c r="H129" s="6">
        <v>59.99</v>
      </c>
      <c r="I129" s="4">
        <f t="shared" si="1"/>
        <v>179.97</v>
      </c>
      <c r="J129" s="2" t="s">
        <v>33</v>
      </c>
      <c r="K129" s="2" t="s">
        <v>45</v>
      </c>
      <c r="L129" s="2" t="s">
        <v>35</v>
      </c>
      <c r="M129" s="11" t="s">
        <v>697</v>
      </c>
    </row>
    <row r="130" spans="1:13" x14ac:dyDescent="0.25">
      <c r="A130" s="10">
        <v>1128</v>
      </c>
      <c r="B130" s="3">
        <v>44941</v>
      </c>
      <c r="C130" s="2" t="s">
        <v>23</v>
      </c>
      <c r="D130" s="2" t="s">
        <v>124</v>
      </c>
      <c r="E130" s="2" t="s">
        <v>39</v>
      </c>
      <c r="F130" s="2" t="s">
        <v>17</v>
      </c>
      <c r="G130" s="4" t="s">
        <v>697</v>
      </c>
      <c r="H130" s="6">
        <v>39.99</v>
      </c>
      <c r="I130" s="4" t="str">
        <f t="shared" si="1"/>
        <v>N/A</v>
      </c>
      <c r="J130" s="2" t="s">
        <v>19</v>
      </c>
      <c r="K130" s="2" t="s">
        <v>45</v>
      </c>
      <c r="L130" s="2" t="s">
        <v>35</v>
      </c>
      <c r="M130" s="11" t="s">
        <v>697</v>
      </c>
    </row>
    <row r="131" spans="1:13" x14ac:dyDescent="0.25">
      <c r="A131" s="10">
        <v>1129</v>
      </c>
      <c r="B131" s="3">
        <v>44964</v>
      </c>
      <c r="C131" s="2" t="s">
        <v>42</v>
      </c>
      <c r="D131" s="2" t="s">
        <v>116</v>
      </c>
      <c r="E131" s="2" t="s">
        <v>31</v>
      </c>
      <c r="F131" s="2" t="s">
        <v>32</v>
      </c>
      <c r="G131" s="2">
        <v>4</v>
      </c>
      <c r="H131" s="6">
        <v>79.989999999999995</v>
      </c>
      <c r="I131" s="4">
        <f t="shared" ref="I131:I194" si="2">IF(G131="N/A","N/A",PRODUCT(G131,H131))</f>
        <v>319.95999999999998</v>
      </c>
      <c r="J131" s="2" t="s">
        <v>19</v>
      </c>
      <c r="K131" s="2" t="s">
        <v>129</v>
      </c>
      <c r="L131" s="2" t="s">
        <v>35</v>
      </c>
      <c r="M131" s="11" t="s">
        <v>697</v>
      </c>
    </row>
    <row r="132" spans="1:13" x14ac:dyDescent="0.25">
      <c r="A132" s="10">
        <v>1130</v>
      </c>
      <c r="B132" s="3">
        <v>45327</v>
      </c>
      <c r="C132" s="2" t="s">
        <v>37</v>
      </c>
      <c r="D132" s="4" t="s">
        <v>697</v>
      </c>
      <c r="E132" s="2" t="s">
        <v>92</v>
      </c>
      <c r="F132" s="2" t="s">
        <v>26</v>
      </c>
      <c r="G132" s="4" t="s">
        <v>697</v>
      </c>
      <c r="H132" s="6">
        <v>14.99</v>
      </c>
      <c r="I132" s="4" t="str">
        <f t="shared" si="2"/>
        <v>N/A</v>
      </c>
      <c r="J132" s="2" t="s">
        <v>33</v>
      </c>
      <c r="K132" s="2" t="s">
        <v>129</v>
      </c>
      <c r="L132" s="2" t="s">
        <v>35</v>
      </c>
      <c r="M132" s="11" t="s">
        <v>697</v>
      </c>
    </row>
    <row r="133" spans="1:13" x14ac:dyDescent="0.25">
      <c r="A133" s="10">
        <v>1131</v>
      </c>
      <c r="B133" s="3">
        <v>45102</v>
      </c>
      <c r="C133" s="2" t="s">
        <v>65</v>
      </c>
      <c r="D133" s="2" t="s">
        <v>126</v>
      </c>
      <c r="E133" s="2" t="s">
        <v>92</v>
      </c>
      <c r="F133" s="2" t="s">
        <v>26</v>
      </c>
      <c r="G133" s="2">
        <v>3</v>
      </c>
      <c r="H133" s="6">
        <v>14.99</v>
      </c>
      <c r="I133" s="4">
        <f t="shared" si="2"/>
        <v>44.97</v>
      </c>
      <c r="J133" s="2" t="s">
        <v>33</v>
      </c>
      <c r="K133" s="2" t="s">
        <v>28</v>
      </c>
      <c r="L133" s="2" t="s">
        <v>40</v>
      </c>
      <c r="M133" s="11" t="s">
        <v>697</v>
      </c>
    </row>
    <row r="134" spans="1:13" x14ac:dyDescent="0.25">
      <c r="A134" s="10">
        <v>1132</v>
      </c>
      <c r="B134" s="3">
        <v>45406</v>
      </c>
      <c r="C134" s="2" t="s">
        <v>77</v>
      </c>
      <c r="D134" s="2" t="s">
        <v>114</v>
      </c>
      <c r="E134" s="2" t="s">
        <v>52</v>
      </c>
      <c r="F134" s="2" t="s">
        <v>53</v>
      </c>
      <c r="G134" s="2">
        <v>2</v>
      </c>
      <c r="H134" s="6">
        <v>59.99</v>
      </c>
      <c r="I134" s="4">
        <f t="shared" si="2"/>
        <v>119.98</v>
      </c>
      <c r="J134" s="2" t="s">
        <v>27</v>
      </c>
      <c r="K134" s="2" t="s">
        <v>28</v>
      </c>
      <c r="L134" s="2" t="s">
        <v>29</v>
      </c>
      <c r="M134" s="11" t="s">
        <v>697</v>
      </c>
    </row>
    <row r="135" spans="1:13" x14ac:dyDescent="0.25">
      <c r="A135" s="10">
        <v>1133</v>
      </c>
      <c r="B135" s="5" t="s">
        <v>697</v>
      </c>
      <c r="C135" s="2" t="s">
        <v>697</v>
      </c>
      <c r="D135" s="2" t="s">
        <v>43</v>
      </c>
      <c r="E135" s="2" t="s">
        <v>52</v>
      </c>
      <c r="F135" s="2" t="s">
        <v>53</v>
      </c>
      <c r="G135" s="4" t="s">
        <v>697</v>
      </c>
      <c r="H135" s="6">
        <v>59.99</v>
      </c>
      <c r="I135" s="4" t="str">
        <f t="shared" si="2"/>
        <v>N/A</v>
      </c>
      <c r="J135" s="2" t="s">
        <v>19</v>
      </c>
      <c r="K135" s="2" t="s">
        <v>28</v>
      </c>
      <c r="L135" s="2" t="s">
        <v>35</v>
      </c>
      <c r="M135" s="11" t="s">
        <v>697</v>
      </c>
    </row>
    <row r="136" spans="1:13" x14ac:dyDescent="0.25">
      <c r="A136" s="10">
        <v>1134</v>
      </c>
      <c r="B136" s="5" t="s">
        <v>697</v>
      </c>
      <c r="C136" s="2" t="s">
        <v>42</v>
      </c>
      <c r="D136" s="2" t="s">
        <v>48</v>
      </c>
      <c r="E136" s="2" t="s">
        <v>92</v>
      </c>
      <c r="F136" s="2" t="s">
        <v>26</v>
      </c>
      <c r="G136" s="2">
        <v>1</v>
      </c>
      <c r="H136" s="6">
        <v>14.99</v>
      </c>
      <c r="I136" s="4">
        <f t="shared" si="2"/>
        <v>14.99</v>
      </c>
      <c r="J136" s="2" t="s">
        <v>27</v>
      </c>
      <c r="K136" s="2" t="s">
        <v>45</v>
      </c>
      <c r="L136" s="2" t="s">
        <v>35</v>
      </c>
      <c r="M136" s="12" t="s">
        <v>63</v>
      </c>
    </row>
    <row r="137" spans="1:13" x14ac:dyDescent="0.25">
      <c r="A137" s="10">
        <v>1135</v>
      </c>
      <c r="B137" s="3">
        <v>45209</v>
      </c>
      <c r="C137" s="2" t="s">
        <v>42</v>
      </c>
      <c r="D137" s="2" t="s">
        <v>43</v>
      </c>
      <c r="E137" s="2" t="s">
        <v>85</v>
      </c>
      <c r="F137" s="2" t="s">
        <v>26</v>
      </c>
      <c r="G137" s="2">
        <v>5</v>
      </c>
      <c r="H137" s="6">
        <v>99.99</v>
      </c>
      <c r="I137" s="4">
        <f t="shared" si="2"/>
        <v>499.95</v>
      </c>
      <c r="J137" s="2" t="s">
        <v>33</v>
      </c>
      <c r="K137" s="2" t="s">
        <v>28</v>
      </c>
      <c r="L137" s="2" t="s">
        <v>35</v>
      </c>
      <c r="M137" s="11" t="s">
        <v>697</v>
      </c>
    </row>
    <row r="138" spans="1:13" x14ac:dyDescent="0.25">
      <c r="A138" s="10">
        <v>1136</v>
      </c>
      <c r="B138" s="5" t="s">
        <v>697</v>
      </c>
      <c r="C138" s="2" t="s">
        <v>65</v>
      </c>
      <c r="D138" s="2" t="s">
        <v>66</v>
      </c>
      <c r="E138" s="2" t="s">
        <v>85</v>
      </c>
      <c r="F138" s="2" t="s">
        <v>26</v>
      </c>
      <c r="G138" s="2">
        <v>2</v>
      </c>
      <c r="H138" s="6">
        <v>99.99</v>
      </c>
      <c r="I138" s="4">
        <f t="shared" si="2"/>
        <v>199.98</v>
      </c>
      <c r="J138" s="2" t="s">
        <v>27</v>
      </c>
      <c r="K138" s="2" t="s">
        <v>55</v>
      </c>
      <c r="L138" s="2" t="s">
        <v>35</v>
      </c>
      <c r="M138" s="11" t="s">
        <v>697</v>
      </c>
    </row>
    <row r="139" spans="1:13" x14ac:dyDescent="0.25">
      <c r="A139" s="10">
        <v>1137</v>
      </c>
      <c r="B139" s="5" t="s">
        <v>697</v>
      </c>
      <c r="C139" s="2" t="s">
        <v>14</v>
      </c>
      <c r="D139" s="2" t="s">
        <v>84</v>
      </c>
      <c r="E139" s="2" t="s">
        <v>31</v>
      </c>
      <c r="F139" s="2" t="s">
        <v>32</v>
      </c>
      <c r="G139" s="2">
        <v>5</v>
      </c>
      <c r="H139" s="6">
        <v>79.989999999999995</v>
      </c>
      <c r="I139" s="4">
        <f t="shared" si="2"/>
        <v>399.95</v>
      </c>
      <c r="J139" s="2" t="s">
        <v>27</v>
      </c>
      <c r="K139" s="2" t="s">
        <v>55</v>
      </c>
      <c r="L139" s="2" t="s">
        <v>35</v>
      </c>
      <c r="M139" s="11" t="s">
        <v>697</v>
      </c>
    </row>
    <row r="140" spans="1:13" x14ac:dyDescent="0.25">
      <c r="A140" s="10">
        <v>1138</v>
      </c>
      <c r="B140" s="5" t="s">
        <v>697</v>
      </c>
      <c r="C140" s="2" t="s">
        <v>77</v>
      </c>
      <c r="D140" s="2" t="s">
        <v>78</v>
      </c>
      <c r="E140" s="2" t="s">
        <v>85</v>
      </c>
      <c r="F140" s="2" t="s">
        <v>26</v>
      </c>
      <c r="G140" s="2">
        <v>3</v>
      </c>
      <c r="H140" s="6">
        <v>99.99</v>
      </c>
      <c r="I140" s="4">
        <f t="shared" si="2"/>
        <v>299.96999999999997</v>
      </c>
      <c r="J140" s="2" t="s">
        <v>33</v>
      </c>
      <c r="K140" s="2" t="s">
        <v>129</v>
      </c>
      <c r="L140" s="2" t="s">
        <v>35</v>
      </c>
      <c r="M140" s="11" t="s">
        <v>697</v>
      </c>
    </row>
    <row r="141" spans="1:13" x14ac:dyDescent="0.25">
      <c r="A141" s="10">
        <v>1139</v>
      </c>
      <c r="B141" s="5" t="s">
        <v>697</v>
      </c>
      <c r="C141" s="2" t="s">
        <v>14</v>
      </c>
      <c r="D141" s="2" t="s">
        <v>75</v>
      </c>
      <c r="E141" s="2" t="s">
        <v>52</v>
      </c>
      <c r="F141" s="2" t="s">
        <v>53</v>
      </c>
      <c r="G141" s="2">
        <v>5</v>
      </c>
      <c r="H141" s="6">
        <v>59.99</v>
      </c>
      <c r="I141" s="4">
        <f t="shared" si="2"/>
        <v>299.95</v>
      </c>
      <c r="J141" s="2" t="s">
        <v>19</v>
      </c>
      <c r="K141" s="2" t="s">
        <v>34</v>
      </c>
      <c r="L141" s="2" t="s">
        <v>40</v>
      </c>
      <c r="M141" s="11" t="s">
        <v>697</v>
      </c>
    </row>
    <row r="142" spans="1:13" x14ac:dyDescent="0.25">
      <c r="A142" s="10">
        <v>1140</v>
      </c>
      <c r="B142" s="5" t="s">
        <v>697</v>
      </c>
      <c r="C142" s="2" t="s">
        <v>77</v>
      </c>
      <c r="D142" s="2" t="s">
        <v>114</v>
      </c>
      <c r="E142" s="2" t="s">
        <v>82</v>
      </c>
      <c r="F142" s="2" t="s">
        <v>60</v>
      </c>
      <c r="G142" s="2">
        <v>1</v>
      </c>
      <c r="H142" s="6">
        <v>4.99</v>
      </c>
      <c r="I142" s="4">
        <f t="shared" si="2"/>
        <v>4.99</v>
      </c>
      <c r="J142" s="2" t="s">
        <v>27</v>
      </c>
      <c r="K142" s="2" t="s">
        <v>28</v>
      </c>
      <c r="L142" s="2" t="s">
        <v>35</v>
      </c>
      <c r="M142" s="11" t="s">
        <v>697</v>
      </c>
    </row>
    <row r="143" spans="1:13" x14ac:dyDescent="0.25">
      <c r="A143" s="10">
        <v>1141</v>
      </c>
      <c r="B143" s="3">
        <v>44932</v>
      </c>
      <c r="C143" s="2" t="s">
        <v>42</v>
      </c>
      <c r="D143" s="2" t="s">
        <v>48</v>
      </c>
      <c r="E143" s="2" t="s">
        <v>127</v>
      </c>
      <c r="F143" s="2" t="s">
        <v>73</v>
      </c>
      <c r="G143" s="2">
        <v>1</v>
      </c>
      <c r="H143" s="6">
        <v>29.99</v>
      </c>
      <c r="I143" s="4">
        <f t="shared" si="2"/>
        <v>29.99</v>
      </c>
      <c r="J143" s="2" t="s">
        <v>19</v>
      </c>
      <c r="K143" s="2" t="s">
        <v>45</v>
      </c>
      <c r="L143" s="2" t="s">
        <v>29</v>
      </c>
      <c r="M143" s="11" t="s">
        <v>697</v>
      </c>
    </row>
    <row r="144" spans="1:13" x14ac:dyDescent="0.25">
      <c r="A144" s="10">
        <v>1142</v>
      </c>
      <c r="B144" s="3">
        <v>44939</v>
      </c>
      <c r="C144" s="2" t="s">
        <v>14</v>
      </c>
      <c r="D144" s="2" t="s">
        <v>15</v>
      </c>
      <c r="E144" s="2" t="s">
        <v>82</v>
      </c>
      <c r="F144" s="2" t="s">
        <v>60</v>
      </c>
      <c r="G144" s="2">
        <v>2</v>
      </c>
      <c r="H144" s="6">
        <v>4.99</v>
      </c>
      <c r="I144" s="4">
        <f t="shared" si="2"/>
        <v>9.98</v>
      </c>
      <c r="J144" s="2" t="s">
        <v>54</v>
      </c>
      <c r="K144" s="2" t="s">
        <v>45</v>
      </c>
      <c r="L144" s="2" t="s">
        <v>35</v>
      </c>
      <c r="M144" s="11" t="s">
        <v>697</v>
      </c>
    </row>
    <row r="145" spans="1:13" x14ac:dyDescent="0.25">
      <c r="A145" s="10">
        <v>1143</v>
      </c>
      <c r="B145" s="3">
        <v>45327</v>
      </c>
      <c r="C145" s="2" t="s">
        <v>70</v>
      </c>
      <c r="D145" s="2" t="s">
        <v>88</v>
      </c>
      <c r="E145" s="2" t="s">
        <v>85</v>
      </c>
      <c r="F145" s="2" t="s">
        <v>26</v>
      </c>
      <c r="G145" s="4" t="s">
        <v>697</v>
      </c>
      <c r="H145" s="6">
        <v>99.99</v>
      </c>
      <c r="I145" s="4" t="str">
        <f t="shared" si="2"/>
        <v>N/A</v>
      </c>
      <c r="J145" s="2" t="s">
        <v>54</v>
      </c>
      <c r="K145" s="2" t="s">
        <v>129</v>
      </c>
      <c r="L145" s="2" t="s">
        <v>40</v>
      </c>
      <c r="M145" s="11" t="s">
        <v>697</v>
      </c>
    </row>
    <row r="146" spans="1:13" x14ac:dyDescent="0.25">
      <c r="A146" s="10">
        <v>1144</v>
      </c>
      <c r="B146" s="3">
        <v>45059</v>
      </c>
      <c r="C146" s="2" t="s">
        <v>23</v>
      </c>
      <c r="D146" s="2" t="s">
        <v>81</v>
      </c>
      <c r="E146" s="2" t="s">
        <v>85</v>
      </c>
      <c r="F146" s="2" t="s">
        <v>26</v>
      </c>
      <c r="G146" s="4" t="s">
        <v>697</v>
      </c>
      <c r="H146" s="6">
        <v>99.99</v>
      </c>
      <c r="I146" s="4" t="str">
        <f t="shared" si="2"/>
        <v>N/A</v>
      </c>
      <c r="J146" s="2" t="s">
        <v>27</v>
      </c>
      <c r="K146" s="2" t="s">
        <v>45</v>
      </c>
      <c r="L146" s="2" t="s">
        <v>40</v>
      </c>
      <c r="M146" s="11" t="s">
        <v>697</v>
      </c>
    </row>
    <row r="147" spans="1:13" x14ac:dyDescent="0.25">
      <c r="A147" s="10">
        <v>1145</v>
      </c>
      <c r="B147" s="5" t="s">
        <v>697</v>
      </c>
      <c r="C147" s="2" t="s">
        <v>77</v>
      </c>
      <c r="D147" s="2" t="s">
        <v>78</v>
      </c>
      <c r="E147" s="2" t="s">
        <v>92</v>
      </c>
      <c r="F147" s="2" t="s">
        <v>26</v>
      </c>
      <c r="G147" s="4" t="s">
        <v>697</v>
      </c>
      <c r="H147" s="6">
        <v>14.99</v>
      </c>
      <c r="I147" s="4" t="str">
        <f t="shared" si="2"/>
        <v>N/A</v>
      </c>
      <c r="J147" s="2" t="s">
        <v>33</v>
      </c>
      <c r="K147" s="2" t="s">
        <v>28</v>
      </c>
      <c r="L147" s="2" t="s">
        <v>40</v>
      </c>
      <c r="M147" s="11" t="s">
        <v>697</v>
      </c>
    </row>
    <row r="148" spans="1:13" x14ac:dyDescent="0.25">
      <c r="A148" s="10">
        <v>1146</v>
      </c>
      <c r="B148" s="3">
        <v>44998</v>
      </c>
      <c r="C148" s="2" t="s">
        <v>42</v>
      </c>
      <c r="D148" s="2" t="s">
        <v>43</v>
      </c>
      <c r="E148" s="2" t="s">
        <v>44</v>
      </c>
      <c r="F148" s="2" t="s">
        <v>17</v>
      </c>
      <c r="G148" s="2">
        <v>3</v>
      </c>
      <c r="H148" s="6">
        <v>15.99</v>
      </c>
      <c r="I148" s="4">
        <f t="shared" si="2"/>
        <v>47.97</v>
      </c>
      <c r="J148" s="2" t="s">
        <v>33</v>
      </c>
      <c r="K148" s="2" t="s">
        <v>28</v>
      </c>
      <c r="L148" s="2" t="s">
        <v>29</v>
      </c>
      <c r="M148" s="11" t="s">
        <v>697</v>
      </c>
    </row>
    <row r="149" spans="1:13" x14ac:dyDescent="0.25">
      <c r="A149" s="10">
        <v>1147</v>
      </c>
      <c r="B149" s="3">
        <v>45335</v>
      </c>
      <c r="C149" s="2" t="s">
        <v>42</v>
      </c>
      <c r="D149" s="2" t="s">
        <v>116</v>
      </c>
      <c r="E149" s="2" t="s">
        <v>31</v>
      </c>
      <c r="F149" s="2" t="s">
        <v>32</v>
      </c>
      <c r="G149" s="2">
        <v>3</v>
      </c>
      <c r="H149" s="6">
        <v>79.989999999999995</v>
      </c>
      <c r="I149" s="4">
        <f t="shared" si="2"/>
        <v>239.96999999999997</v>
      </c>
      <c r="J149" s="2" t="s">
        <v>19</v>
      </c>
      <c r="K149" s="2" t="s">
        <v>28</v>
      </c>
      <c r="L149" s="2" t="s">
        <v>40</v>
      </c>
      <c r="M149" s="12" t="s">
        <v>63</v>
      </c>
    </row>
    <row r="150" spans="1:13" x14ac:dyDescent="0.25">
      <c r="A150" s="10">
        <v>1148</v>
      </c>
      <c r="B150" s="3">
        <v>45384</v>
      </c>
      <c r="C150" s="2" t="s">
        <v>70</v>
      </c>
      <c r="D150" s="2" t="s">
        <v>131</v>
      </c>
      <c r="E150" s="2" t="s">
        <v>92</v>
      </c>
      <c r="F150" s="2" t="s">
        <v>26</v>
      </c>
      <c r="G150" s="4" t="s">
        <v>697</v>
      </c>
      <c r="H150" s="6">
        <v>14.99</v>
      </c>
      <c r="I150" s="4" t="str">
        <f t="shared" si="2"/>
        <v>N/A</v>
      </c>
      <c r="J150" s="2" t="s">
        <v>33</v>
      </c>
      <c r="K150" s="2" t="s">
        <v>28</v>
      </c>
      <c r="L150" s="2" t="s">
        <v>35</v>
      </c>
      <c r="M150" s="11" t="s">
        <v>697</v>
      </c>
    </row>
    <row r="151" spans="1:13" x14ac:dyDescent="0.25">
      <c r="A151" s="10">
        <v>1149</v>
      </c>
      <c r="B151" s="3">
        <v>44951</v>
      </c>
      <c r="C151" s="2" t="s">
        <v>23</v>
      </c>
      <c r="D151" s="2" t="s">
        <v>124</v>
      </c>
      <c r="E151" s="2" t="s">
        <v>85</v>
      </c>
      <c r="F151" s="2" t="s">
        <v>26</v>
      </c>
      <c r="G151" s="2">
        <v>4</v>
      </c>
      <c r="H151" s="6">
        <v>99.99</v>
      </c>
      <c r="I151" s="4">
        <f t="shared" si="2"/>
        <v>399.96</v>
      </c>
      <c r="J151" s="2" t="s">
        <v>33</v>
      </c>
      <c r="K151" s="2" t="s">
        <v>28</v>
      </c>
      <c r="L151" s="2" t="s">
        <v>35</v>
      </c>
      <c r="M151" s="11" t="s">
        <v>697</v>
      </c>
    </row>
    <row r="152" spans="1:13" x14ac:dyDescent="0.25">
      <c r="A152" s="10">
        <v>1150</v>
      </c>
      <c r="B152" s="3">
        <v>45388</v>
      </c>
      <c r="C152" s="2" t="s">
        <v>65</v>
      </c>
      <c r="D152" s="2" t="s">
        <v>66</v>
      </c>
      <c r="E152" s="2" t="s">
        <v>72</v>
      </c>
      <c r="F152" s="2" t="s">
        <v>73</v>
      </c>
      <c r="G152" s="2">
        <v>1</v>
      </c>
      <c r="H152" s="6">
        <v>49.99</v>
      </c>
      <c r="I152" s="4">
        <f t="shared" si="2"/>
        <v>49.99</v>
      </c>
      <c r="J152" s="2" t="s">
        <v>19</v>
      </c>
      <c r="K152" s="2" t="s">
        <v>28</v>
      </c>
      <c r="L152" s="2" t="s">
        <v>40</v>
      </c>
      <c r="M152" s="11" t="s">
        <v>697</v>
      </c>
    </row>
    <row r="153" spans="1:13" x14ac:dyDescent="0.25">
      <c r="A153" s="10">
        <v>1151</v>
      </c>
      <c r="B153" s="5" t="s">
        <v>697</v>
      </c>
      <c r="C153" s="2" t="s">
        <v>23</v>
      </c>
      <c r="D153" s="2" t="s">
        <v>124</v>
      </c>
      <c r="E153" s="2" t="s">
        <v>44</v>
      </c>
      <c r="F153" s="2" t="s">
        <v>17</v>
      </c>
      <c r="G153" s="2">
        <v>1</v>
      </c>
      <c r="H153" s="6">
        <v>15.99</v>
      </c>
      <c r="I153" s="4">
        <f t="shared" si="2"/>
        <v>15.99</v>
      </c>
      <c r="J153" s="2" t="s">
        <v>33</v>
      </c>
      <c r="K153" s="2" t="s">
        <v>28</v>
      </c>
      <c r="L153" s="2" t="s">
        <v>29</v>
      </c>
      <c r="M153" s="11" t="s">
        <v>697</v>
      </c>
    </row>
    <row r="154" spans="1:13" x14ac:dyDescent="0.25">
      <c r="A154" s="10">
        <v>1152</v>
      </c>
      <c r="B154" s="5" t="s">
        <v>697</v>
      </c>
      <c r="C154" s="2" t="s">
        <v>37</v>
      </c>
      <c r="D154" s="2" t="s">
        <v>38</v>
      </c>
      <c r="E154" s="2" t="s">
        <v>72</v>
      </c>
      <c r="F154" s="2" t="s">
        <v>73</v>
      </c>
      <c r="G154" s="2">
        <v>1</v>
      </c>
      <c r="H154" s="6">
        <v>49.99</v>
      </c>
      <c r="I154" s="4">
        <f t="shared" si="2"/>
        <v>49.99</v>
      </c>
      <c r="J154" s="2" t="s">
        <v>33</v>
      </c>
      <c r="K154" s="2" t="s">
        <v>45</v>
      </c>
      <c r="L154" s="2" t="s">
        <v>35</v>
      </c>
      <c r="M154" s="11" t="s">
        <v>697</v>
      </c>
    </row>
    <row r="155" spans="1:13" x14ac:dyDescent="0.25">
      <c r="A155" s="10">
        <v>1153</v>
      </c>
      <c r="B155" s="5" t="s">
        <v>697</v>
      </c>
      <c r="C155" s="2" t="s">
        <v>70</v>
      </c>
      <c r="D155" s="2" t="s">
        <v>71</v>
      </c>
      <c r="E155" s="2" t="s">
        <v>127</v>
      </c>
      <c r="F155" s="2" t="s">
        <v>73</v>
      </c>
      <c r="G155" s="2">
        <v>5</v>
      </c>
      <c r="H155" s="6">
        <v>29.99</v>
      </c>
      <c r="I155" s="4">
        <f t="shared" si="2"/>
        <v>149.94999999999999</v>
      </c>
      <c r="J155" s="2" t="s">
        <v>54</v>
      </c>
      <c r="K155" s="2" t="s">
        <v>55</v>
      </c>
      <c r="L155" s="2" t="s">
        <v>35</v>
      </c>
      <c r="M155" s="12" t="s">
        <v>63</v>
      </c>
    </row>
    <row r="156" spans="1:13" x14ac:dyDescent="0.25">
      <c r="A156" s="10">
        <v>1154</v>
      </c>
      <c r="B156" s="3">
        <v>45029</v>
      </c>
      <c r="C156" s="2" t="s">
        <v>65</v>
      </c>
      <c r="D156" s="2" t="s">
        <v>66</v>
      </c>
      <c r="E156" s="2" t="s">
        <v>44</v>
      </c>
      <c r="F156" s="2" t="s">
        <v>17</v>
      </c>
      <c r="G156" s="2">
        <v>1</v>
      </c>
      <c r="H156" s="6">
        <v>15.99</v>
      </c>
      <c r="I156" s="4">
        <f t="shared" si="2"/>
        <v>15.99</v>
      </c>
      <c r="J156" s="2" t="s">
        <v>27</v>
      </c>
      <c r="K156" s="2" t="s">
        <v>45</v>
      </c>
      <c r="L156" s="2" t="s">
        <v>35</v>
      </c>
      <c r="M156" s="11" t="s">
        <v>697</v>
      </c>
    </row>
    <row r="157" spans="1:13" x14ac:dyDescent="0.25">
      <c r="A157" s="10">
        <v>1155</v>
      </c>
      <c r="B157" s="3">
        <v>45425</v>
      </c>
      <c r="C157" s="2" t="s">
        <v>42</v>
      </c>
      <c r="D157" s="2" t="s">
        <v>116</v>
      </c>
      <c r="E157" s="2" t="s">
        <v>85</v>
      </c>
      <c r="F157" s="2" t="s">
        <v>26</v>
      </c>
      <c r="G157" s="2">
        <v>2</v>
      </c>
      <c r="H157" s="6">
        <v>99.99</v>
      </c>
      <c r="I157" s="4">
        <f t="shared" si="2"/>
        <v>199.98</v>
      </c>
      <c r="J157" s="2" t="s">
        <v>33</v>
      </c>
      <c r="K157" s="2" t="s">
        <v>28</v>
      </c>
      <c r="L157" s="2" t="s">
        <v>35</v>
      </c>
      <c r="M157" s="11" t="s">
        <v>697</v>
      </c>
    </row>
    <row r="158" spans="1:13" x14ac:dyDescent="0.25">
      <c r="A158" s="10">
        <v>1156</v>
      </c>
      <c r="B158" s="5" t="s">
        <v>697</v>
      </c>
      <c r="C158" s="2" t="s">
        <v>70</v>
      </c>
      <c r="D158" s="2" t="s">
        <v>131</v>
      </c>
      <c r="E158" s="2" t="s">
        <v>127</v>
      </c>
      <c r="F158" s="2" t="s">
        <v>73</v>
      </c>
      <c r="G158" s="2">
        <v>4</v>
      </c>
      <c r="H158" s="6">
        <v>29.99</v>
      </c>
      <c r="I158" s="4">
        <f t="shared" si="2"/>
        <v>119.96</v>
      </c>
      <c r="J158" s="2" t="s">
        <v>19</v>
      </c>
      <c r="K158" s="2" t="s">
        <v>55</v>
      </c>
      <c r="L158" s="2" t="s">
        <v>40</v>
      </c>
      <c r="M158" s="11" t="s">
        <v>697</v>
      </c>
    </row>
    <row r="159" spans="1:13" x14ac:dyDescent="0.25">
      <c r="A159" s="10">
        <v>1157</v>
      </c>
      <c r="B159" s="3">
        <v>45025</v>
      </c>
      <c r="C159" s="2" t="s">
        <v>77</v>
      </c>
      <c r="D159" s="2" t="s">
        <v>114</v>
      </c>
      <c r="E159" s="2" t="s">
        <v>39</v>
      </c>
      <c r="F159" s="2" t="s">
        <v>17</v>
      </c>
      <c r="G159" s="2">
        <v>1</v>
      </c>
      <c r="H159" s="6">
        <v>39.99</v>
      </c>
      <c r="I159" s="4">
        <f t="shared" si="2"/>
        <v>39.99</v>
      </c>
      <c r="J159" s="2" t="s">
        <v>33</v>
      </c>
      <c r="K159" s="2" t="s">
        <v>28</v>
      </c>
      <c r="L159" s="2" t="s">
        <v>35</v>
      </c>
      <c r="M159" s="11" t="s">
        <v>697</v>
      </c>
    </row>
    <row r="160" spans="1:13" x14ac:dyDescent="0.25">
      <c r="A160" s="10">
        <v>1158</v>
      </c>
      <c r="B160" s="3">
        <v>45172</v>
      </c>
      <c r="C160" s="2" t="s">
        <v>42</v>
      </c>
      <c r="D160" s="2" t="s">
        <v>43</v>
      </c>
      <c r="E160" s="2" t="s">
        <v>31</v>
      </c>
      <c r="F160" s="2" t="s">
        <v>32</v>
      </c>
      <c r="G160" s="2">
        <v>2</v>
      </c>
      <c r="H160" s="6">
        <v>79.989999999999995</v>
      </c>
      <c r="I160" s="4">
        <f t="shared" si="2"/>
        <v>159.97999999999999</v>
      </c>
      <c r="J160" s="2" t="s">
        <v>54</v>
      </c>
      <c r="K160" s="2" t="s">
        <v>129</v>
      </c>
      <c r="L160" s="2" t="s">
        <v>35</v>
      </c>
      <c r="M160" s="11" t="s">
        <v>697</v>
      </c>
    </row>
    <row r="161" spans="1:13" x14ac:dyDescent="0.25">
      <c r="A161" s="10">
        <v>1159</v>
      </c>
      <c r="B161" s="3">
        <v>45189</v>
      </c>
      <c r="C161" s="2" t="s">
        <v>23</v>
      </c>
      <c r="D161" s="2" t="s">
        <v>81</v>
      </c>
      <c r="E161" s="2" t="s">
        <v>52</v>
      </c>
      <c r="F161" s="2" t="s">
        <v>53</v>
      </c>
      <c r="G161" s="2">
        <v>1</v>
      </c>
      <c r="H161" s="6">
        <v>59.99</v>
      </c>
      <c r="I161" s="4">
        <f t="shared" si="2"/>
        <v>59.99</v>
      </c>
      <c r="J161" s="2" t="s">
        <v>33</v>
      </c>
      <c r="K161" s="2" t="s">
        <v>45</v>
      </c>
      <c r="L161" s="2" t="s">
        <v>40</v>
      </c>
      <c r="M161" s="11" t="s">
        <v>697</v>
      </c>
    </row>
    <row r="162" spans="1:13" x14ac:dyDescent="0.25">
      <c r="A162" s="10">
        <v>1160</v>
      </c>
      <c r="B162" s="5" t="s">
        <v>697</v>
      </c>
      <c r="C162" s="2" t="s">
        <v>77</v>
      </c>
      <c r="D162" s="2" t="s">
        <v>78</v>
      </c>
      <c r="E162" s="2" t="s">
        <v>82</v>
      </c>
      <c r="F162" s="2" t="s">
        <v>60</v>
      </c>
      <c r="G162" s="2">
        <v>2</v>
      </c>
      <c r="H162" s="6">
        <v>4.99</v>
      </c>
      <c r="I162" s="4">
        <f t="shared" si="2"/>
        <v>9.98</v>
      </c>
      <c r="J162" s="2" t="s">
        <v>33</v>
      </c>
      <c r="K162" s="2" t="s">
        <v>45</v>
      </c>
      <c r="L162" s="2" t="s">
        <v>40</v>
      </c>
      <c r="M162" s="11" t="s">
        <v>697</v>
      </c>
    </row>
    <row r="163" spans="1:13" x14ac:dyDescent="0.25">
      <c r="A163" s="10">
        <v>1161</v>
      </c>
      <c r="B163" s="3">
        <v>45324</v>
      </c>
      <c r="C163" s="2" t="s">
        <v>65</v>
      </c>
      <c r="D163" s="2" t="s">
        <v>126</v>
      </c>
      <c r="E163" s="2" t="s">
        <v>39</v>
      </c>
      <c r="F163" s="2" t="s">
        <v>17</v>
      </c>
      <c r="G163" s="4" t="s">
        <v>697</v>
      </c>
      <c r="H163" s="6">
        <v>39.99</v>
      </c>
      <c r="I163" s="4" t="str">
        <f t="shared" si="2"/>
        <v>N/A</v>
      </c>
      <c r="J163" s="2" t="s">
        <v>19</v>
      </c>
      <c r="K163" s="2" t="s">
        <v>45</v>
      </c>
      <c r="L163" s="2" t="s">
        <v>29</v>
      </c>
      <c r="M163" s="11" t="s">
        <v>697</v>
      </c>
    </row>
    <row r="164" spans="1:13" x14ac:dyDescent="0.25">
      <c r="A164" s="10">
        <v>1162</v>
      </c>
      <c r="B164" s="5" t="s">
        <v>697</v>
      </c>
      <c r="C164" s="2" t="s">
        <v>70</v>
      </c>
      <c r="D164" s="2" t="s">
        <v>88</v>
      </c>
      <c r="E164" s="2" t="s">
        <v>39</v>
      </c>
      <c r="F164" s="2" t="s">
        <v>17</v>
      </c>
      <c r="G164" s="2">
        <v>1</v>
      </c>
      <c r="H164" s="6">
        <v>39.99</v>
      </c>
      <c r="I164" s="4">
        <f t="shared" si="2"/>
        <v>39.99</v>
      </c>
      <c r="J164" s="2" t="s">
        <v>27</v>
      </c>
      <c r="K164" s="2" t="s">
        <v>28</v>
      </c>
      <c r="L164" s="2" t="s">
        <v>35</v>
      </c>
      <c r="M164" s="11" t="s">
        <v>697</v>
      </c>
    </row>
    <row r="165" spans="1:13" x14ac:dyDescent="0.25">
      <c r="A165" s="10">
        <v>1163</v>
      </c>
      <c r="B165" s="3">
        <v>44945</v>
      </c>
      <c r="C165" s="2" t="s">
        <v>77</v>
      </c>
      <c r="D165" s="2" t="s">
        <v>114</v>
      </c>
      <c r="E165" s="2" t="s">
        <v>39</v>
      </c>
      <c r="F165" s="2" t="s">
        <v>17</v>
      </c>
      <c r="G165" s="2">
        <v>4</v>
      </c>
      <c r="H165" s="6">
        <v>39.99</v>
      </c>
      <c r="I165" s="4">
        <f t="shared" si="2"/>
        <v>159.96</v>
      </c>
      <c r="J165" s="2" t="s">
        <v>33</v>
      </c>
      <c r="K165" s="2" t="s">
        <v>129</v>
      </c>
      <c r="L165" s="2" t="s">
        <v>29</v>
      </c>
      <c r="M165" s="11" t="s">
        <v>697</v>
      </c>
    </row>
    <row r="166" spans="1:13" x14ac:dyDescent="0.25">
      <c r="A166" s="10">
        <v>1164</v>
      </c>
      <c r="B166" s="3">
        <v>45283</v>
      </c>
      <c r="C166" s="2" t="s">
        <v>23</v>
      </c>
      <c r="D166" s="2" t="s">
        <v>24</v>
      </c>
      <c r="E166" s="2" t="s">
        <v>82</v>
      </c>
      <c r="F166" s="2" t="s">
        <v>60</v>
      </c>
      <c r="G166" s="2">
        <v>5</v>
      </c>
      <c r="H166" s="6">
        <v>4.99</v>
      </c>
      <c r="I166" s="4">
        <f t="shared" si="2"/>
        <v>24.950000000000003</v>
      </c>
      <c r="J166" s="2" t="s">
        <v>19</v>
      </c>
      <c r="K166" s="2" t="s">
        <v>45</v>
      </c>
      <c r="L166" s="2" t="s">
        <v>40</v>
      </c>
      <c r="M166" s="11" t="s">
        <v>697</v>
      </c>
    </row>
    <row r="167" spans="1:13" x14ac:dyDescent="0.25">
      <c r="A167" s="10">
        <v>1165</v>
      </c>
      <c r="B167" s="3">
        <v>45279</v>
      </c>
      <c r="C167" s="2" t="s">
        <v>23</v>
      </c>
      <c r="D167" s="2" t="s">
        <v>124</v>
      </c>
      <c r="E167" s="2" t="s">
        <v>44</v>
      </c>
      <c r="F167" s="2" t="s">
        <v>17</v>
      </c>
      <c r="G167" s="2">
        <v>5</v>
      </c>
      <c r="H167" s="6">
        <v>15.99</v>
      </c>
      <c r="I167" s="4">
        <f t="shared" si="2"/>
        <v>79.95</v>
      </c>
      <c r="J167" s="2" t="s">
        <v>54</v>
      </c>
      <c r="K167" s="2" t="s">
        <v>55</v>
      </c>
      <c r="L167" s="2" t="s">
        <v>35</v>
      </c>
      <c r="M167" s="11" t="s">
        <v>697</v>
      </c>
    </row>
    <row r="168" spans="1:13" x14ac:dyDescent="0.25">
      <c r="A168" s="10">
        <v>1166</v>
      </c>
      <c r="B168" s="3">
        <v>45327</v>
      </c>
      <c r="C168" s="2" t="s">
        <v>42</v>
      </c>
      <c r="D168" s="4" t="s">
        <v>697</v>
      </c>
      <c r="E168" s="2" t="s">
        <v>31</v>
      </c>
      <c r="F168" s="2" t="s">
        <v>32</v>
      </c>
      <c r="G168" s="2">
        <v>3</v>
      </c>
      <c r="H168" s="6">
        <v>79.989999999999995</v>
      </c>
      <c r="I168" s="4">
        <f t="shared" si="2"/>
        <v>239.96999999999997</v>
      </c>
      <c r="J168" s="2" t="s">
        <v>33</v>
      </c>
      <c r="K168" s="2" t="s">
        <v>28</v>
      </c>
      <c r="L168" s="2" t="s">
        <v>35</v>
      </c>
      <c r="M168" s="11" t="s">
        <v>697</v>
      </c>
    </row>
    <row r="169" spans="1:13" x14ac:dyDescent="0.25">
      <c r="A169" s="10">
        <v>1167</v>
      </c>
      <c r="B169" s="3">
        <v>44969</v>
      </c>
      <c r="C169" s="2" t="s">
        <v>65</v>
      </c>
      <c r="D169" s="2" t="s">
        <v>66</v>
      </c>
      <c r="E169" s="2" t="s">
        <v>39</v>
      </c>
      <c r="F169" s="2" t="s">
        <v>17</v>
      </c>
      <c r="G169" s="4" t="s">
        <v>697</v>
      </c>
      <c r="H169" s="6">
        <v>39.99</v>
      </c>
      <c r="I169" s="4" t="str">
        <f t="shared" si="2"/>
        <v>N/A</v>
      </c>
      <c r="J169" s="2" t="s">
        <v>33</v>
      </c>
      <c r="K169" s="2" t="s">
        <v>129</v>
      </c>
      <c r="L169" s="2" t="s">
        <v>29</v>
      </c>
      <c r="M169" s="11" t="s">
        <v>697</v>
      </c>
    </row>
    <row r="170" spans="1:13" x14ac:dyDescent="0.25">
      <c r="A170" s="10">
        <v>1168</v>
      </c>
      <c r="B170" s="3">
        <v>44931</v>
      </c>
      <c r="C170" s="2" t="s">
        <v>37</v>
      </c>
      <c r="D170" s="2" t="s">
        <v>169</v>
      </c>
      <c r="E170" s="2" t="s">
        <v>127</v>
      </c>
      <c r="F170" s="2" t="s">
        <v>73</v>
      </c>
      <c r="G170" s="2">
        <v>3</v>
      </c>
      <c r="H170" s="6">
        <v>29.99</v>
      </c>
      <c r="I170" s="4">
        <f t="shared" si="2"/>
        <v>89.97</v>
      </c>
      <c r="J170" s="2" t="s">
        <v>33</v>
      </c>
      <c r="K170" s="2" t="s">
        <v>28</v>
      </c>
      <c r="L170" s="2" t="s">
        <v>40</v>
      </c>
      <c r="M170" s="11" t="s">
        <v>697</v>
      </c>
    </row>
    <row r="171" spans="1:13" x14ac:dyDescent="0.25">
      <c r="A171" s="10">
        <v>1169</v>
      </c>
      <c r="B171" s="3">
        <v>45365</v>
      </c>
      <c r="C171" s="2" t="s">
        <v>697</v>
      </c>
      <c r="D171" s="2" t="s">
        <v>43</v>
      </c>
      <c r="E171" s="2" t="s">
        <v>92</v>
      </c>
      <c r="F171" s="2" t="s">
        <v>26</v>
      </c>
      <c r="G171" s="4" t="s">
        <v>697</v>
      </c>
      <c r="H171" s="6">
        <v>14.99</v>
      </c>
      <c r="I171" s="4" t="str">
        <f t="shared" si="2"/>
        <v>N/A</v>
      </c>
      <c r="J171" s="2" t="s">
        <v>33</v>
      </c>
      <c r="K171" s="2" t="s">
        <v>129</v>
      </c>
      <c r="L171" s="2" t="s">
        <v>35</v>
      </c>
      <c r="M171" s="11" t="s">
        <v>697</v>
      </c>
    </row>
    <row r="172" spans="1:13" x14ac:dyDescent="0.25">
      <c r="A172" s="10">
        <v>1170</v>
      </c>
      <c r="B172" s="5" t="s">
        <v>697</v>
      </c>
      <c r="C172" s="2" t="s">
        <v>77</v>
      </c>
      <c r="D172" s="2" t="s">
        <v>78</v>
      </c>
      <c r="E172" s="2" t="s">
        <v>31</v>
      </c>
      <c r="F172" s="2" t="s">
        <v>32</v>
      </c>
      <c r="G172" s="2">
        <v>3</v>
      </c>
      <c r="H172" s="6">
        <v>79.989999999999995</v>
      </c>
      <c r="I172" s="4">
        <f t="shared" si="2"/>
        <v>239.96999999999997</v>
      </c>
      <c r="J172" s="2" t="s">
        <v>33</v>
      </c>
      <c r="K172" s="2" t="s">
        <v>34</v>
      </c>
      <c r="L172" s="2" t="s">
        <v>35</v>
      </c>
      <c r="M172" s="11" t="s">
        <v>697</v>
      </c>
    </row>
    <row r="173" spans="1:13" x14ac:dyDescent="0.25">
      <c r="A173" s="10">
        <v>1171</v>
      </c>
      <c r="B173" s="3">
        <v>44958</v>
      </c>
      <c r="C173" s="2" t="s">
        <v>37</v>
      </c>
      <c r="D173" s="2" t="s">
        <v>169</v>
      </c>
      <c r="E173" s="2" t="s">
        <v>44</v>
      </c>
      <c r="F173" s="2" t="s">
        <v>17</v>
      </c>
      <c r="G173" s="2">
        <v>1</v>
      </c>
      <c r="H173" s="6">
        <v>15.99</v>
      </c>
      <c r="I173" s="4">
        <f t="shared" si="2"/>
        <v>15.99</v>
      </c>
      <c r="J173" s="2" t="s">
        <v>33</v>
      </c>
      <c r="K173" s="2" t="s">
        <v>55</v>
      </c>
      <c r="L173" s="2" t="s">
        <v>29</v>
      </c>
      <c r="M173" s="11" t="s">
        <v>697</v>
      </c>
    </row>
    <row r="174" spans="1:13" x14ac:dyDescent="0.25">
      <c r="A174" s="10">
        <v>1172</v>
      </c>
      <c r="B174" s="5" t="s">
        <v>697</v>
      </c>
      <c r="C174" s="2" t="s">
        <v>14</v>
      </c>
      <c r="D174" s="2" t="s">
        <v>15</v>
      </c>
      <c r="E174" s="2" t="s">
        <v>82</v>
      </c>
      <c r="F174" s="2" t="s">
        <v>60</v>
      </c>
      <c r="G174" s="2">
        <v>5</v>
      </c>
      <c r="H174" s="6">
        <v>4.99</v>
      </c>
      <c r="I174" s="4">
        <f t="shared" si="2"/>
        <v>24.950000000000003</v>
      </c>
      <c r="J174" s="2" t="s">
        <v>54</v>
      </c>
      <c r="K174" s="2" t="s">
        <v>45</v>
      </c>
      <c r="L174" s="2" t="s">
        <v>35</v>
      </c>
      <c r="M174" s="11" t="s">
        <v>697</v>
      </c>
    </row>
    <row r="175" spans="1:13" x14ac:dyDescent="0.25">
      <c r="A175" s="10">
        <v>1173</v>
      </c>
      <c r="B175" s="3">
        <v>44928</v>
      </c>
      <c r="C175" s="2" t="s">
        <v>77</v>
      </c>
      <c r="D175" s="2" t="s">
        <v>114</v>
      </c>
      <c r="E175" s="2" t="s">
        <v>85</v>
      </c>
      <c r="F175" s="2" t="s">
        <v>26</v>
      </c>
      <c r="G175" s="2">
        <v>1</v>
      </c>
      <c r="H175" s="6">
        <v>99.99</v>
      </c>
      <c r="I175" s="4">
        <f t="shared" si="2"/>
        <v>99.99</v>
      </c>
      <c r="J175" s="2" t="s">
        <v>54</v>
      </c>
      <c r="K175" s="2" t="s">
        <v>129</v>
      </c>
      <c r="L175" s="2" t="s">
        <v>35</v>
      </c>
      <c r="M175" s="11" t="s">
        <v>697</v>
      </c>
    </row>
    <row r="176" spans="1:13" x14ac:dyDescent="0.25">
      <c r="A176" s="10">
        <v>1174</v>
      </c>
      <c r="B176" s="3">
        <v>45395</v>
      </c>
      <c r="C176" s="2" t="s">
        <v>14</v>
      </c>
      <c r="D176" s="4" t="s">
        <v>697</v>
      </c>
      <c r="E176" s="2" t="s">
        <v>44</v>
      </c>
      <c r="F176" s="2" t="s">
        <v>17</v>
      </c>
      <c r="G176" s="2">
        <v>5</v>
      </c>
      <c r="H176" s="6">
        <v>15.99</v>
      </c>
      <c r="I176" s="4">
        <f t="shared" si="2"/>
        <v>79.95</v>
      </c>
      <c r="J176" s="2" t="s">
        <v>19</v>
      </c>
      <c r="K176" s="2" t="s">
        <v>45</v>
      </c>
      <c r="L176" s="2" t="s">
        <v>29</v>
      </c>
      <c r="M176" s="11" t="s">
        <v>697</v>
      </c>
    </row>
    <row r="177" spans="1:13" x14ac:dyDescent="0.25">
      <c r="A177" s="10">
        <v>1175</v>
      </c>
      <c r="B177" s="5" t="s">
        <v>697</v>
      </c>
      <c r="C177" s="2" t="s">
        <v>37</v>
      </c>
      <c r="D177" s="2" t="s">
        <v>38</v>
      </c>
      <c r="E177" s="2" t="s">
        <v>82</v>
      </c>
      <c r="F177" s="2" t="s">
        <v>60</v>
      </c>
      <c r="G177" s="2">
        <v>4</v>
      </c>
      <c r="H177" s="6">
        <v>4.99</v>
      </c>
      <c r="I177" s="4">
        <f t="shared" si="2"/>
        <v>19.96</v>
      </c>
      <c r="J177" s="2" t="s">
        <v>33</v>
      </c>
      <c r="K177" s="2" t="s">
        <v>28</v>
      </c>
      <c r="L177" s="2" t="s">
        <v>29</v>
      </c>
      <c r="M177" s="11" t="s">
        <v>697</v>
      </c>
    </row>
    <row r="178" spans="1:13" x14ac:dyDescent="0.25">
      <c r="A178" s="10">
        <v>1176</v>
      </c>
      <c r="B178" s="3">
        <v>45210</v>
      </c>
      <c r="C178" s="2" t="s">
        <v>23</v>
      </c>
      <c r="D178" s="2" t="s">
        <v>124</v>
      </c>
      <c r="E178" s="2" t="s">
        <v>82</v>
      </c>
      <c r="F178" s="2" t="s">
        <v>60</v>
      </c>
      <c r="G178" s="4" t="s">
        <v>697</v>
      </c>
      <c r="H178" s="6">
        <v>4.99</v>
      </c>
      <c r="I178" s="4" t="str">
        <f t="shared" si="2"/>
        <v>N/A</v>
      </c>
      <c r="J178" s="2" t="s">
        <v>33</v>
      </c>
      <c r="K178" s="2" t="s">
        <v>34</v>
      </c>
      <c r="L178" s="2" t="s">
        <v>40</v>
      </c>
      <c r="M178" s="11" t="s">
        <v>697</v>
      </c>
    </row>
    <row r="179" spans="1:13" x14ac:dyDescent="0.25">
      <c r="A179" s="10">
        <v>1177</v>
      </c>
      <c r="B179" s="3">
        <v>45302</v>
      </c>
      <c r="C179" s="2" t="s">
        <v>14</v>
      </c>
      <c r="D179" s="2" t="s">
        <v>75</v>
      </c>
      <c r="E179" s="2" t="s">
        <v>52</v>
      </c>
      <c r="F179" s="2" t="s">
        <v>53</v>
      </c>
      <c r="G179" s="2">
        <v>2</v>
      </c>
      <c r="H179" s="6">
        <v>59.99</v>
      </c>
      <c r="I179" s="4">
        <f t="shared" si="2"/>
        <v>119.98</v>
      </c>
      <c r="J179" s="2" t="s">
        <v>33</v>
      </c>
      <c r="K179" s="2" t="s">
        <v>129</v>
      </c>
      <c r="L179" s="2" t="s">
        <v>35</v>
      </c>
      <c r="M179" s="11" t="s">
        <v>697</v>
      </c>
    </row>
    <row r="180" spans="1:13" x14ac:dyDescent="0.25">
      <c r="A180" s="10">
        <v>1178</v>
      </c>
      <c r="B180" s="5" t="s">
        <v>697</v>
      </c>
      <c r="C180" s="2" t="s">
        <v>77</v>
      </c>
      <c r="D180" s="2" t="s">
        <v>78</v>
      </c>
      <c r="E180" s="2" t="s">
        <v>72</v>
      </c>
      <c r="F180" s="2" t="s">
        <v>73</v>
      </c>
      <c r="G180" s="2">
        <v>5</v>
      </c>
      <c r="H180" s="6">
        <v>49.99</v>
      </c>
      <c r="I180" s="4">
        <f t="shared" si="2"/>
        <v>249.95000000000002</v>
      </c>
      <c r="J180" s="2" t="s">
        <v>54</v>
      </c>
      <c r="K180" s="2" t="s">
        <v>34</v>
      </c>
      <c r="L180" s="2" t="s">
        <v>35</v>
      </c>
      <c r="M180" s="11" t="s">
        <v>697</v>
      </c>
    </row>
    <row r="181" spans="1:13" x14ac:dyDescent="0.25">
      <c r="A181" s="10">
        <v>1179</v>
      </c>
      <c r="B181" s="3">
        <v>45372</v>
      </c>
      <c r="C181" s="2" t="s">
        <v>65</v>
      </c>
      <c r="D181" s="2" t="s">
        <v>123</v>
      </c>
      <c r="E181" s="2" t="s">
        <v>44</v>
      </c>
      <c r="F181" s="2" t="s">
        <v>17</v>
      </c>
      <c r="G181" s="2">
        <v>4</v>
      </c>
      <c r="H181" s="6">
        <v>15.99</v>
      </c>
      <c r="I181" s="4">
        <f t="shared" si="2"/>
        <v>63.96</v>
      </c>
      <c r="J181" s="2" t="s">
        <v>19</v>
      </c>
      <c r="K181" s="2" t="s">
        <v>28</v>
      </c>
      <c r="L181" s="2" t="s">
        <v>35</v>
      </c>
      <c r="M181" s="12" t="s">
        <v>63</v>
      </c>
    </row>
    <row r="182" spans="1:13" x14ac:dyDescent="0.25">
      <c r="A182" s="10">
        <v>1180</v>
      </c>
      <c r="B182" s="3">
        <v>45208</v>
      </c>
      <c r="C182" s="2" t="s">
        <v>77</v>
      </c>
      <c r="D182" s="2" t="s">
        <v>91</v>
      </c>
      <c r="E182" s="2" t="s">
        <v>85</v>
      </c>
      <c r="F182" s="2" t="s">
        <v>26</v>
      </c>
      <c r="G182" s="2">
        <v>1</v>
      </c>
      <c r="H182" s="6">
        <v>99.99</v>
      </c>
      <c r="I182" s="4">
        <f t="shared" si="2"/>
        <v>99.99</v>
      </c>
      <c r="J182" s="2" t="s">
        <v>27</v>
      </c>
      <c r="K182" s="2" t="s">
        <v>55</v>
      </c>
      <c r="L182" s="2" t="s">
        <v>40</v>
      </c>
      <c r="M182" s="11" t="s">
        <v>697</v>
      </c>
    </row>
    <row r="183" spans="1:13" x14ac:dyDescent="0.25">
      <c r="A183" s="10">
        <v>1181</v>
      </c>
      <c r="B183" s="3">
        <v>45315</v>
      </c>
      <c r="C183" s="2" t="s">
        <v>65</v>
      </c>
      <c r="D183" s="2" t="s">
        <v>66</v>
      </c>
      <c r="E183" s="2" t="s">
        <v>39</v>
      </c>
      <c r="F183" s="2" t="s">
        <v>17</v>
      </c>
      <c r="G183" s="2">
        <v>3</v>
      </c>
      <c r="H183" s="6">
        <v>39.99</v>
      </c>
      <c r="I183" s="4">
        <f t="shared" si="2"/>
        <v>119.97</v>
      </c>
      <c r="J183" s="2" t="s">
        <v>33</v>
      </c>
      <c r="K183" s="2" t="s">
        <v>55</v>
      </c>
      <c r="L183" s="2" t="s">
        <v>40</v>
      </c>
      <c r="M183" s="11" t="s">
        <v>697</v>
      </c>
    </row>
    <row r="184" spans="1:13" x14ac:dyDescent="0.25">
      <c r="A184" s="10">
        <v>1182</v>
      </c>
      <c r="B184" s="5" t="s">
        <v>697</v>
      </c>
      <c r="C184" s="2" t="s">
        <v>697</v>
      </c>
      <c r="D184" s="2" t="s">
        <v>15</v>
      </c>
      <c r="E184" s="2" t="s">
        <v>92</v>
      </c>
      <c r="F184" s="2" t="s">
        <v>26</v>
      </c>
      <c r="G184" s="4" t="s">
        <v>697</v>
      </c>
      <c r="H184" s="6">
        <v>14.99</v>
      </c>
      <c r="I184" s="4" t="str">
        <f t="shared" si="2"/>
        <v>N/A</v>
      </c>
      <c r="J184" s="2" t="s">
        <v>19</v>
      </c>
      <c r="K184" s="2" t="s">
        <v>28</v>
      </c>
      <c r="L184" s="2" t="s">
        <v>35</v>
      </c>
      <c r="M184" s="12" t="s">
        <v>63</v>
      </c>
    </row>
    <row r="185" spans="1:13" x14ac:dyDescent="0.25">
      <c r="A185" s="10">
        <v>1183</v>
      </c>
      <c r="B185" s="3">
        <v>44948</v>
      </c>
      <c r="C185" s="2" t="s">
        <v>697</v>
      </c>
      <c r="D185" s="2" t="s">
        <v>169</v>
      </c>
      <c r="E185" s="2" t="s">
        <v>39</v>
      </c>
      <c r="F185" s="2" t="s">
        <v>17</v>
      </c>
      <c r="G185" s="2">
        <v>3</v>
      </c>
      <c r="H185" s="6">
        <v>39.99</v>
      </c>
      <c r="I185" s="4">
        <f t="shared" si="2"/>
        <v>119.97</v>
      </c>
      <c r="J185" s="2" t="s">
        <v>54</v>
      </c>
      <c r="K185" s="2" t="s">
        <v>45</v>
      </c>
      <c r="L185" s="2" t="s">
        <v>29</v>
      </c>
      <c r="M185" s="11" t="s">
        <v>697</v>
      </c>
    </row>
    <row r="186" spans="1:13" x14ac:dyDescent="0.25">
      <c r="A186" s="10">
        <v>1184</v>
      </c>
      <c r="B186" s="3">
        <v>44965</v>
      </c>
      <c r="C186" s="2" t="s">
        <v>14</v>
      </c>
      <c r="D186" s="2" t="s">
        <v>75</v>
      </c>
      <c r="E186" s="2" t="s">
        <v>72</v>
      </c>
      <c r="F186" s="2" t="s">
        <v>73</v>
      </c>
      <c r="G186" s="2">
        <v>5</v>
      </c>
      <c r="H186" s="6">
        <v>49.99</v>
      </c>
      <c r="I186" s="4">
        <f t="shared" si="2"/>
        <v>249.95000000000002</v>
      </c>
      <c r="J186" s="2" t="s">
        <v>33</v>
      </c>
      <c r="K186" s="2" t="s">
        <v>45</v>
      </c>
      <c r="L186" s="2" t="s">
        <v>35</v>
      </c>
      <c r="M186" s="11" t="s">
        <v>697</v>
      </c>
    </row>
    <row r="187" spans="1:13" x14ac:dyDescent="0.25">
      <c r="A187" s="10">
        <v>1185</v>
      </c>
      <c r="B187" s="5" t="s">
        <v>697</v>
      </c>
      <c r="C187" s="2" t="s">
        <v>65</v>
      </c>
      <c r="D187" s="2" t="s">
        <v>66</v>
      </c>
      <c r="E187" s="2" t="s">
        <v>82</v>
      </c>
      <c r="F187" s="2" t="s">
        <v>60</v>
      </c>
      <c r="G187" s="2">
        <v>1</v>
      </c>
      <c r="H187" s="6">
        <v>4.99</v>
      </c>
      <c r="I187" s="4">
        <f t="shared" si="2"/>
        <v>4.99</v>
      </c>
      <c r="J187" s="2" t="s">
        <v>19</v>
      </c>
      <c r="K187" s="2" t="s">
        <v>34</v>
      </c>
      <c r="L187" s="2" t="s">
        <v>35</v>
      </c>
      <c r="M187" s="11" t="s">
        <v>697</v>
      </c>
    </row>
    <row r="188" spans="1:13" x14ac:dyDescent="0.25">
      <c r="A188" s="10">
        <v>1186</v>
      </c>
      <c r="B188" s="3">
        <v>45300</v>
      </c>
      <c r="C188" s="2" t="s">
        <v>37</v>
      </c>
      <c r="D188" s="2" t="s">
        <v>169</v>
      </c>
      <c r="E188" s="2" t="s">
        <v>44</v>
      </c>
      <c r="F188" s="2" t="s">
        <v>17</v>
      </c>
      <c r="G188" s="4" t="s">
        <v>697</v>
      </c>
      <c r="H188" s="6">
        <v>15.99</v>
      </c>
      <c r="I188" s="4" t="str">
        <f t="shared" si="2"/>
        <v>N/A</v>
      </c>
      <c r="J188" s="2" t="s">
        <v>33</v>
      </c>
      <c r="K188" s="2" t="s">
        <v>34</v>
      </c>
      <c r="L188" s="2" t="s">
        <v>29</v>
      </c>
      <c r="M188" s="11" t="s">
        <v>697</v>
      </c>
    </row>
    <row r="189" spans="1:13" x14ac:dyDescent="0.25">
      <c r="A189" s="10">
        <v>1187</v>
      </c>
      <c r="B189" s="3">
        <v>44973</v>
      </c>
      <c r="C189" s="2" t="s">
        <v>65</v>
      </c>
      <c r="D189" s="2" t="s">
        <v>126</v>
      </c>
      <c r="E189" s="2" t="s">
        <v>44</v>
      </c>
      <c r="F189" s="2" t="s">
        <v>17</v>
      </c>
      <c r="G189" s="2">
        <v>3</v>
      </c>
      <c r="H189" s="6">
        <v>15.99</v>
      </c>
      <c r="I189" s="4">
        <f t="shared" si="2"/>
        <v>47.97</v>
      </c>
      <c r="J189" s="2" t="s">
        <v>19</v>
      </c>
      <c r="K189" s="2" t="s">
        <v>55</v>
      </c>
      <c r="L189" s="2" t="s">
        <v>40</v>
      </c>
      <c r="M189" s="11" t="s">
        <v>697</v>
      </c>
    </row>
    <row r="190" spans="1:13" x14ac:dyDescent="0.25">
      <c r="A190" s="10">
        <v>1188</v>
      </c>
      <c r="B190" s="3">
        <v>45269</v>
      </c>
      <c r="C190" s="2" t="s">
        <v>14</v>
      </c>
      <c r="D190" s="2" t="s">
        <v>15</v>
      </c>
      <c r="E190" s="2" t="s">
        <v>85</v>
      </c>
      <c r="F190" s="2" t="s">
        <v>26</v>
      </c>
      <c r="G190" s="2">
        <v>5</v>
      </c>
      <c r="H190" s="6">
        <v>99.99</v>
      </c>
      <c r="I190" s="4">
        <f t="shared" si="2"/>
        <v>499.95</v>
      </c>
      <c r="J190" s="2" t="s">
        <v>19</v>
      </c>
      <c r="K190" s="2" t="s">
        <v>28</v>
      </c>
      <c r="L190" s="2" t="s">
        <v>35</v>
      </c>
      <c r="M190" s="11" t="s">
        <v>697</v>
      </c>
    </row>
    <row r="191" spans="1:13" x14ac:dyDescent="0.25">
      <c r="A191" s="10">
        <v>1189</v>
      </c>
      <c r="B191" s="5" t="s">
        <v>697</v>
      </c>
      <c r="C191" s="2" t="s">
        <v>77</v>
      </c>
      <c r="D191" s="2" t="s">
        <v>114</v>
      </c>
      <c r="E191" s="2" t="s">
        <v>127</v>
      </c>
      <c r="F191" s="2" t="s">
        <v>73</v>
      </c>
      <c r="G191" s="2">
        <v>5</v>
      </c>
      <c r="H191" s="6">
        <v>29.99</v>
      </c>
      <c r="I191" s="4">
        <f t="shared" si="2"/>
        <v>149.94999999999999</v>
      </c>
      <c r="J191" s="2" t="s">
        <v>54</v>
      </c>
      <c r="K191" s="2" t="s">
        <v>129</v>
      </c>
      <c r="L191" s="2" t="s">
        <v>35</v>
      </c>
      <c r="M191" s="11" t="s">
        <v>697</v>
      </c>
    </row>
    <row r="192" spans="1:13" x14ac:dyDescent="0.25">
      <c r="A192" s="10">
        <v>1190</v>
      </c>
      <c r="B192" s="5" t="s">
        <v>697</v>
      </c>
      <c r="C192" s="2" t="s">
        <v>77</v>
      </c>
      <c r="D192" s="2" t="s">
        <v>78</v>
      </c>
      <c r="E192" s="2" t="s">
        <v>85</v>
      </c>
      <c r="F192" s="2" t="s">
        <v>26</v>
      </c>
      <c r="G192" s="4" t="s">
        <v>697</v>
      </c>
      <c r="H192" s="6">
        <v>99.99</v>
      </c>
      <c r="I192" s="4" t="str">
        <f t="shared" si="2"/>
        <v>N/A</v>
      </c>
      <c r="J192" s="2" t="s">
        <v>33</v>
      </c>
      <c r="K192" s="2" t="s">
        <v>45</v>
      </c>
      <c r="L192" s="2" t="s">
        <v>35</v>
      </c>
      <c r="M192" s="11" t="s">
        <v>697</v>
      </c>
    </row>
    <row r="193" spans="1:13" x14ac:dyDescent="0.25">
      <c r="A193" s="10">
        <v>1191</v>
      </c>
      <c r="B193" s="3">
        <v>45018</v>
      </c>
      <c r="C193" s="2" t="s">
        <v>37</v>
      </c>
      <c r="D193" s="2" t="s">
        <v>169</v>
      </c>
      <c r="E193" s="2" t="s">
        <v>72</v>
      </c>
      <c r="F193" s="2" t="s">
        <v>73</v>
      </c>
      <c r="G193" s="2">
        <v>1</v>
      </c>
      <c r="H193" s="6">
        <v>49.99</v>
      </c>
      <c r="I193" s="4">
        <f t="shared" si="2"/>
        <v>49.99</v>
      </c>
      <c r="J193" s="2" t="s">
        <v>19</v>
      </c>
      <c r="K193" s="2" t="s">
        <v>28</v>
      </c>
      <c r="L193" s="2" t="s">
        <v>29</v>
      </c>
      <c r="M193" s="11" t="s">
        <v>697</v>
      </c>
    </row>
    <row r="194" spans="1:13" x14ac:dyDescent="0.25">
      <c r="A194" s="10">
        <v>1192</v>
      </c>
      <c r="B194" s="3">
        <v>45013</v>
      </c>
      <c r="C194" s="2" t="s">
        <v>70</v>
      </c>
      <c r="D194" s="2" t="s">
        <v>71</v>
      </c>
      <c r="E194" s="2" t="s">
        <v>44</v>
      </c>
      <c r="F194" s="2" t="s">
        <v>17</v>
      </c>
      <c r="G194" s="2">
        <v>1</v>
      </c>
      <c r="H194" s="6">
        <v>15.99</v>
      </c>
      <c r="I194" s="4">
        <f t="shared" si="2"/>
        <v>15.99</v>
      </c>
      <c r="J194" s="2" t="s">
        <v>19</v>
      </c>
      <c r="K194" s="2" t="s">
        <v>45</v>
      </c>
      <c r="L194" s="2" t="s">
        <v>40</v>
      </c>
      <c r="M194" s="11" t="s">
        <v>697</v>
      </c>
    </row>
    <row r="195" spans="1:13" x14ac:dyDescent="0.25">
      <c r="A195" s="10">
        <v>1193</v>
      </c>
      <c r="B195" s="3">
        <v>45183</v>
      </c>
      <c r="C195" s="2" t="s">
        <v>65</v>
      </c>
      <c r="D195" s="2" t="s">
        <v>66</v>
      </c>
      <c r="E195" s="2" t="s">
        <v>127</v>
      </c>
      <c r="F195" s="2" t="s">
        <v>73</v>
      </c>
      <c r="G195" s="2">
        <v>1</v>
      </c>
      <c r="H195" s="6">
        <v>29.99</v>
      </c>
      <c r="I195" s="4">
        <f t="shared" ref="I195:I258" si="3">IF(G195="N/A","N/A",PRODUCT(G195,H195))</f>
        <v>29.99</v>
      </c>
      <c r="J195" s="2" t="s">
        <v>19</v>
      </c>
      <c r="K195" s="2" t="s">
        <v>45</v>
      </c>
      <c r="L195" s="2" t="s">
        <v>40</v>
      </c>
      <c r="M195" s="11" t="s">
        <v>697</v>
      </c>
    </row>
    <row r="196" spans="1:13" x14ac:dyDescent="0.25">
      <c r="A196" s="10">
        <v>1194</v>
      </c>
      <c r="B196" s="3">
        <v>45022</v>
      </c>
      <c r="C196" s="2" t="s">
        <v>42</v>
      </c>
      <c r="D196" s="2" t="s">
        <v>48</v>
      </c>
      <c r="E196" s="2" t="s">
        <v>31</v>
      </c>
      <c r="F196" s="2" t="s">
        <v>32</v>
      </c>
      <c r="G196" s="2">
        <v>1</v>
      </c>
      <c r="H196" s="6">
        <v>79.989999999999995</v>
      </c>
      <c r="I196" s="4">
        <f t="shared" si="3"/>
        <v>79.989999999999995</v>
      </c>
      <c r="J196" s="2" t="s">
        <v>19</v>
      </c>
      <c r="K196" s="2" t="s">
        <v>28</v>
      </c>
      <c r="L196" s="2" t="s">
        <v>35</v>
      </c>
      <c r="M196" s="11" t="s">
        <v>697</v>
      </c>
    </row>
    <row r="197" spans="1:13" x14ac:dyDescent="0.25">
      <c r="A197" s="10">
        <v>1195</v>
      </c>
      <c r="B197" s="3">
        <v>45320</v>
      </c>
      <c r="C197" s="2" t="s">
        <v>70</v>
      </c>
      <c r="D197" s="2" t="s">
        <v>131</v>
      </c>
      <c r="E197" s="2" t="s">
        <v>92</v>
      </c>
      <c r="F197" s="2" t="s">
        <v>26</v>
      </c>
      <c r="G197" s="4" t="s">
        <v>697</v>
      </c>
      <c r="H197" s="6">
        <v>14.99</v>
      </c>
      <c r="I197" s="4" t="str">
        <f t="shared" si="3"/>
        <v>N/A</v>
      </c>
      <c r="J197" s="2" t="s">
        <v>19</v>
      </c>
      <c r="K197" s="2" t="s">
        <v>129</v>
      </c>
      <c r="L197" s="2" t="s">
        <v>29</v>
      </c>
      <c r="M197" s="11" t="s">
        <v>697</v>
      </c>
    </row>
    <row r="198" spans="1:13" x14ac:dyDescent="0.25">
      <c r="A198" s="10">
        <v>1196</v>
      </c>
      <c r="B198" s="3">
        <v>45348</v>
      </c>
      <c r="C198" s="2" t="s">
        <v>70</v>
      </c>
      <c r="D198" s="2" t="s">
        <v>131</v>
      </c>
      <c r="E198" s="2" t="s">
        <v>44</v>
      </c>
      <c r="F198" s="2" t="s">
        <v>17</v>
      </c>
      <c r="G198" s="2">
        <v>1</v>
      </c>
      <c r="H198" s="6">
        <v>15.99</v>
      </c>
      <c r="I198" s="4">
        <f t="shared" si="3"/>
        <v>15.99</v>
      </c>
      <c r="J198" s="2" t="s">
        <v>33</v>
      </c>
      <c r="K198" s="2" t="s">
        <v>55</v>
      </c>
      <c r="L198" s="2" t="s">
        <v>35</v>
      </c>
      <c r="M198" s="11" t="s">
        <v>697</v>
      </c>
    </row>
    <row r="199" spans="1:13" x14ac:dyDescent="0.25">
      <c r="A199" s="10">
        <v>1197</v>
      </c>
      <c r="B199" s="3">
        <v>45006</v>
      </c>
      <c r="C199" s="2" t="s">
        <v>65</v>
      </c>
      <c r="D199" s="2" t="s">
        <v>123</v>
      </c>
      <c r="E199" s="2" t="s">
        <v>85</v>
      </c>
      <c r="F199" s="2" t="s">
        <v>26</v>
      </c>
      <c r="G199" s="2">
        <v>1</v>
      </c>
      <c r="H199" s="6">
        <v>99.99</v>
      </c>
      <c r="I199" s="4">
        <f t="shared" si="3"/>
        <v>99.99</v>
      </c>
      <c r="J199" s="2" t="s">
        <v>33</v>
      </c>
      <c r="K199" s="2" t="s">
        <v>28</v>
      </c>
      <c r="L199" s="2" t="s">
        <v>35</v>
      </c>
      <c r="M199" s="11" t="s">
        <v>697</v>
      </c>
    </row>
    <row r="200" spans="1:13" x14ac:dyDescent="0.25">
      <c r="A200" s="10">
        <v>1198</v>
      </c>
      <c r="B200" s="3">
        <v>45274</v>
      </c>
      <c r="C200" s="2" t="s">
        <v>42</v>
      </c>
      <c r="D200" s="2" t="s">
        <v>116</v>
      </c>
      <c r="E200" s="2" t="s">
        <v>127</v>
      </c>
      <c r="F200" s="2" t="s">
        <v>73</v>
      </c>
      <c r="G200" s="2">
        <v>5</v>
      </c>
      <c r="H200" s="6">
        <v>29.99</v>
      </c>
      <c r="I200" s="4">
        <f t="shared" si="3"/>
        <v>149.94999999999999</v>
      </c>
      <c r="J200" s="2" t="s">
        <v>33</v>
      </c>
      <c r="K200" s="2" t="s">
        <v>45</v>
      </c>
      <c r="L200" s="2" t="s">
        <v>35</v>
      </c>
      <c r="M200" s="11" t="s">
        <v>697</v>
      </c>
    </row>
    <row r="201" spans="1:13" x14ac:dyDescent="0.25">
      <c r="A201" s="10">
        <v>1199</v>
      </c>
      <c r="B201" s="5" t="s">
        <v>697</v>
      </c>
      <c r="C201" s="2" t="s">
        <v>697</v>
      </c>
      <c r="D201" s="2" t="s">
        <v>116</v>
      </c>
      <c r="E201" s="2" t="s">
        <v>127</v>
      </c>
      <c r="F201" s="2" t="s">
        <v>73</v>
      </c>
      <c r="G201" s="4" t="s">
        <v>697</v>
      </c>
      <c r="H201" s="6">
        <v>29.99</v>
      </c>
      <c r="I201" s="4" t="str">
        <f t="shared" si="3"/>
        <v>N/A</v>
      </c>
      <c r="J201" s="2" t="s">
        <v>54</v>
      </c>
      <c r="K201" s="2" t="s">
        <v>34</v>
      </c>
      <c r="L201" s="2" t="s">
        <v>35</v>
      </c>
      <c r="M201" s="12" t="s">
        <v>63</v>
      </c>
    </row>
    <row r="202" spans="1:13" x14ac:dyDescent="0.25">
      <c r="A202" s="10">
        <v>1200</v>
      </c>
      <c r="B202" s="5" t="s">
        <v>697</v>
      </c>
      <c r="C202" s="2" t="s">
        <v>23</v>
      </c>
      <c r="D202" s="2" t="s">
        <v>124</v>
      </c>
      <c r="E202" s="2" t="s">
        <v>72</v>
      </c>
      <c r="F202" s="2" t="s">
        <v>73</v>
      </c>
      <c r="G202" s="2">
        <v>1</v>
      </c>
      <c r="H202" s="6">
        <v>49.99</v>
      </c>
      <c r="I202" s="4">
        <f t="shared" si="3"/>
        <v>49.99</v>
      </c>
      <c r="J202" s="2" t="s">
        <v>33</v>
      </c>
      <c r="K202" s="2" t="s">
        <v>45</v>
      </c>
      <c r="L202" s="2" t="s">
        <v>35</v>
      </c>
      <c r="M202" s="11" t="s">
        <v>697</v>
      </c>
    </row>
    <row r="203" spans="1:13" x14ac:dyDescent="0.25">
      <c r="A203" s="10">
        <v>1201</v>
      </c>
      <c r="B203" s="3">
        <v>45173</v>
      </c>
      <c r="C203" s="2" t="s">
        <v>65</v>
      </c>
      <c r="D203" s="2" t="s">
        <v>66</v>
      </c>
      <c r="E203" s="2" t="s">
        <v>92</v>
      </c>
      <c r="F203" s="2" t="s">
        <v>26</v>
      </c>
      <c r="G203" s="2">
        <v>2</v>
      </c>
      <c r="H203" s="6">
        <v>14.99</v>
      </c>
      <c r="I203" s="4">
        <f t="shared" si="3"/>
        <v>29.98</v>
      </c>
      <c r="J203" s="2" t="s">
        <v>19</v>
      </c>
      <c r="K203" s="2" t="s">
        <v>129</v>
      </c>
      <c r="L203" s="2" t="s">
        <v>35</v>
      </c>
      <c r="M203" s="11" t="s">
        <v>697</v>
      </c>
    </row>
    <row r="204" spans="1:13" x14ac:dyDescent="0.25">
      <c r="A204" s="10">
        <v>1202</v>
      </c>
      <c r="B204" s="5" t="s">
        <v>697</v>
      </c>
      <c r="C204" s="2" t="s">
        <v>23</v>
      </c>
      <c r="D204" s="2" t="s">
        <v>81</v>
      </c>
      <c r="E204" s="2" t="s">
        <v>92</v>
      </c>
      <c r="F204" s="2" t="s">
        <v>26</v>
      </c>
      <c r="G204" s="2">
        <v>4</v>
      </c>
      <c r="H204" s="6">
        <v>14.99</v>
      </c>
      <c r="I204" s="4">
        <f t="shared" si="3"/>
        <v>59.96</v>
      </c>
      <c r="J204" s="2" t="s">
        <v>27</v>
      </c>
      <c r="K204" s="2" t="s">
        <v>28</v>
      </c>
      <c r="L204" s="2" t="s">
        <v>35</v>
      </c>
      <c r="M204" s="11" t="s">
        <v>697</v>
      </c>
    </row>
    <row r="205" spans="1:13" x14ac:dyDescent="0.25">
      <c r="A205" s="10">
        <v>1203</v>
      </c>
      <c r="B205" s="3">
        <v>45344</v>
      </c>
      <c r="C205" s="2" t="s">
        <v>23</v>
      </c>
      <c r="D205" s="2" t="s">
        <v>81</v>
      </c>
      <c r="E205" s="2" t="s">
        <v>39</v>
      </c>
      <c r="F205" s="2" t="s">
        <v>17</v>
      </c>
      <c r="G205" s="2">
        <v>3</v>
      </c>
      <c r="H205" s="6">
        <v>39.99</v>
      </c>
      <c r="I205" s="4">
        <f t="shared" si="3"/>
        <v>119.97</v>
      </c>
      <c r="J205" s="2" t="s">
        <v>19</v>
      </c>
      <c r="K205" s="2" t="s">
        <v>28</v>
      </c>
      <c r="L205" s="2" t="s">
        <v>35</v>
      </c>
      <c r="M205" s="11" t="s">
        <v>697</v>
      </c>
    </row>
    <row r="206" spans="1:13" x14ac:dyDescent="0.25">
      <c r="A206" s="10">
        <v>1204</v>
      </c>
      <c r="B206" s="3">
        <v>45372</v>
      </c>
      <c r="C206" s="2" t="s">
        <v>37</v>
      </c>
      <c r="D206" s="2" t="s">
        <v>169</v>
      </c>
      <c r="E206" s="2" t="s">
        <v>72</v>
      </c>
      <c r="F206" s="2" t="s">
        <v>73</v>
      </c>
      <c r="G206" s="2">
        <v>1</v>
      </c>
      <c r="H206" s="6">
        <v>49.99</v>
      </c>
      <c r="I206" s="4">
        <f t="shared" si="3"/>
        <v>49.99</v>
      </c>
      <c r="J206" s="2" t="s">
        <v>33</v>
      </c>
      <c r="K206" s="2" t="s">
        <v>28</v>
      </c>
      <c r="L206" s="2" t="s">
        <v>35</v>
      </c>
      <c r="M206" s="11" t="s">
        <v>697</v>
      </c>
    </row>
    <row r="207" spans="1:13" x14ac:dyDescent="0.25">
      <c r="A207" s="10">
        <v>1205</v>
      </c>
      <c r="B207" s="3">
        <v>45253</v>
      </c>
      <c r="C207" s="2" t="s">
        <v>697</v>
      </c>
      <c r="D207" s="2" t="s">
        <v>169</v>
      </c>
      <c r="E207" s="2" t="s">
        <v>92</v>
      </c>
      <c r="F207" s="2" t="s">
        <v>26</v>
      </c>
      <c r="G207" s="2">
        <v>1</v>
      </c>
      <c r="H207" s="6">
        <v>14.99</v>
      </c>
      <c r="I207" s="4">
        <f t="shared" si="3"/>
        <v>14.99</v>
      </c>
      <c r="J207" s="2" t="s">
        <v>27</v>
      </c>
      <c r="K207" s="2" t="s">
        <v>28</v>
      </c>
      <c r="L207" s="2" t="s">
        <v>35</v>
      </c>
      <c r="M207" s="11" t="s">
        <v>697</v>
      </c>
    </row>
    <row r="208" spans="1:13" x14ac:dyDescent="0.25">
      <c r="A208" s="10">
        <v>1206</v>
      </c>
      <c r="B208" s="3">
        <v>44929</v>
      </c>
      <c r="C208" s="2" t="s">
        <v>65</v>
      </c>
      <c r="D208" s="2" t="s">
        <v>123</v>
      </c>
      <c r="E208" s="2" t="s">
        <v>31</v>
      </c>
      <c r="F208" s="2" t="s">
        <v>32</v>
      </c>
      <c r="G208" s="2">
        <v>1</v>
      </c>
      <c r="H208" s="6">
        <v>79.989999999999995</v>
      </c>
      <c r="I208" s="4">
        <f t="shared" si="3"/>
        <v>79.989999999999995</v>
      </c>
      <c r="J208" s="2" t="s">
        <v>27</v>
      </c>
      <c r="K208" s="2" t="s">
        <v>34</v>
      </c>
      <c r="L208" s="2" t="s">
        <v>35</v>
      </c>
      <c r="M208" s="11" t="s">
        <v>697</v>
      </c>
    </row>
    <row r="209" spans="1:13" x14ac:dyDescent="0.25">
      <c r="A209" s="10">
        <v>1207</v>
      </c>
      <c r="B209" s="3">
        <v>44936</v>
      </c>
      <c r="C209" s="2" t="s">
        <v>65</v>
      </c>
      <c r="D209" s="2" t="s">
        <v>123</v>
      </c>
      <c r="E209" s="2" t="s">
        <v>39</v>
      </c>
      <c r="F209" s="2" t="s">
        <v>17</v>
      </c>
      <c r="G209" s="2">
        <v>4</v>
      </c>
      <c r="H209" s="6">
        <v>39.99</v>
      </c>
      <c r="I209" s="4">
        <f t="shared" si="3"/>
        <v>159.96</v>
      </c>
      <c r="J209" s="2" t="s">
        <v>27</v>
      </c>
      <c r="K209" s="2" t="s">
        <v>28</v>
      </c>
      <c r="L209" s="2" t="s">
        <v>29</v>
      </c>
      <c r="M209" s="11" t="s">
        <v>697</v>
      </c>
    </row>
    <row r="210" spans="1:13" x14ac:dyDescent="0.25">
      <c r="A210" s="10">
        <v>1208</v>
      </c>
      <c r="B210" s="3">
        <v>45004</v>
      </c>
      <c r="C210" s="2" t="s">
        <v>42</v>
      </c>
      <c r="D210" s="2" t="s">
        <v>116</v>
      </c>
      <c r="E210" s="2" t="s">
        <v>92</v>
      </c>
      <c r="F210" s="2" t="s">
        <v>26</v>
      </c>
      <c r="G210" s="2">
        <v>4</v>
      </c>
      <c r="H210" s="6">
        <v>14.99</v>
      </c>
      <c r="I210" s="4">
        <f t="shared" si="3"/>
        <v>59.96</v>
      </c>
      <c r="J210" s="2" t="s">
        <v>33</v>
      </c>
      <c r="K210" s="2" t="s">
        <v>28</v>
      </c>
      <c r="L210" s="2" t="s">
        <v>35</v>
      </c>
      <c r="M210" s="11" t="s">
        <v>697</v>
      </c>
    </row>
    <row r="211" spans="1:13" x14ac:dyDescent="0.25">
      <c r="A211" s="10">
        <v>1209</v>
      </c>
      <c r="B211" s="3">
        <v>45234</v>
      </c>
      <c r="C211" s="2" t="s">
        <v>77</v>
      </c>
      <c r="D211" s="2" t="s">
        <v>114</v>
      </c>
      <c r="E211" s="2" t="s">
        <v>82</v>
      </c>
      <c r="F211" s="2" t="s">
        <v>60</v>
      </c>
      <c r="G211" s="2">
        <v>1</v>
      </c>
      <c r="H211" s="6">
        <v>4.99</v>
      </c>
      <c r="I211" s="4">
        <f t="shared" si="3"/>
        <v>4.99</v>
      </c>
      <c r="J211" s="2" t="s">
        <v>33</v>
      </c>
      <c r="K211" s="2" t="s">
        <v>55</v>
      </c>
      <c r="L211" s="2" t="s">
        <v>35</v>
      </c>
      <c r="M211" s="11" t="s">
        <v>697</v>
      </c>
    </row>
    <row r="212" spans="1:13" x14ac:dyDescent="0.25">
      <c r="A212" s="10">
        <v>1210</v>
      </c>
      <c r="B212" s="3">
        <v>45330</v>
      </c>
      <c r="C212" s="2" t="s">
        <v>37</v>
      </c>
      <c r="D212" s="4" t="s">
        <v>697</v>
      </c>
      <c r="E212" s="2" t="s">
        <v>44</v>
      </c>
      <c r="F212" s="2" t="s">
        <v>17</v>
      </c>
      <c r="G212" s="2">
        <v>3</v>
      </c>
      <c r="H212" s="6">
        <v>15.99</v>
      </c>
      <c r="I212" s="4">
        <f t="shared" si="3"/>
        <v>47.97</v>
      </c>
      <c r="J212" s="2" t="s">
        <v>33</v>
      </c>
      <c r="K212" s="2" t="s">
        <v>34</v>
      </c>
      <c r="L212" s="2" t="s">
        <v>35</v>
      </c>
      <c r="M212" s="11" t="s">
        <v>697</v>
      </c>
    </row>
    <row r="213" spans="1:13" x14ac:dyDescent="0.25">
      <c r="A213" s="10">
        <v>1211</v>
      </c>
      <c r="B213" s="3">
        <v>45388</v>
      </c>
      <c r="C213" s="2" t="s">
        <v>37</v>
      </c>
      <c r="D213" s="2" t="s">
        <v>169</v>
      </c>
      <c r="E213" s="2" t="s">
        <v>82</v>
      </c>
      <c r="F213" s="2" t="s">
        <v>60</v>
      </c>
      <c r="G213" s="2">
        <v>4</v>
      </c>
      <c r="H213" s="6">
        <v>4.99</v>
      </c>
      <c r="I213" s="4">
        <f t="shared" si="3"/>
        <v>19.96</v>
      </c>
      <c r="J213" s="2" t="s">
        <v>54</v>
      </c>
      <c r="K213" s="2" t="s">
        <v>34</v>
      </c>
      <c r="L213" s="2" t="s">
        <v>40</v>
      </c>
      <c r="M213" s="11" t="s">
        <v>697</v>
      </c>
    </row>
    <row r="214" spans="1:13" x14ac:dyDescent="0.25">
      <c r="A214" s="10">
        <v>1212</v>
      </c>
      <c r="B214" s="3">
        <v>45100</v>
      </c>
      <c r="C214" s="2" t="s">
        <v>14</v>
      </c>
      <c r="D214" s="2" t="s">
        <v>75</v>
      </c>
      <c r="E214" s="2" t="s">
        <v>52</v>
      </c>
      <c r="F214" s="2" t="s">
        <v>53</v>
      </c>
      <c r="G214" s="2">
        <v>1</v>
      </c>
      <c r="H214" s="6">
        <v>59.99</v>
      </c>
      <c r="I214" s="4">
        <f t="shared" si="3"/>
        <v>59.99</v>
      </c>
      <c r="J214" s="2" t="s">
        <v>27</v>
      </c>
      <c r="K214" s="2" t="s">
        <v>45</v>
      </c>
      <c r="L214" s="2" t="s">
        <v>40</v>
      </c>
      <c r="M214" s="11" t="s">
        <v>697</v>
      </c>
    </row>
    <row r="215" spans="1:13" x14ac:dyDescent="0.25">
      <c r="A215" s="10">
        <v>1213</v>
      </c>
      <c r="B215" s="3">
        <v>45108</v>
      </c>
      <c r="C215" s="2" t="s">
        <v>70</v>
      </c>
      <c r="D215" s="2" t="s">
        <v>88</v>
      </c>
      <c r="E215" s="2" t="s">
        <v>52</v>
      </c>
      <c r="F215" s="2" t="s">
        <v>53</v>
      </c>
      <c r="G215" s="4" t="s">
        <v>697</v>
      </c>
      <c r="H215" s="6">
        <v>59.99</v>
      </c>
      <c r="I215" s="4" t="str">
        <f t="shared" si="3"/>
        <v>N/A</v>
      </c>
      <c r="J215" s="2" t="s">
        <v>33</v>
      </c>
      <c r="K215" s="2" t="s">
        <v>28</v>
      </c>
      <c r="L215" s="2" t="s">
        <v>29</v>
      </c>
      <c r="M215" s="11" t="s">
        <v>697</v>
      </c>
    </row>
    <row r="216" spans="1:13" x14ac:dyDescent="0.25">
      <c r="A216" s="10">
        <v>1214</v>
      </c>
      <c r="B216" s="3">
        <v>45398</v>
      </c>
      <c r="C216" s="2" t="s">
        <v>14</v>
      </c>
      <c r="D216" s="2" t="s">
        <v>75</v>
      </c>
      <c r="E216" s="2" t="s">
        <v>85</v>
      </c>
      <c r="F216" s="2" t="s">
        <v>26</v>
      </c>
      <c r="G216" s="4" t="s">
        <v>697</v>
      </c>
      <c r="H216" s="6">
        <v>99.99</v>
      </c>
      <c r="I216" s="4" t="str">
        <f t="shared" si="3"/>
        <v>N/A</v>
      </c>
      <c r="J216" s="2" t="s">
        <v>33</v>
      </c>
      <c r="K216" s="2" t="s">
        <v>55</v>
      </c>
      <c r="L216" s="2" t="s">
        <v>29</v>
      </c>
      <c r="M216" s="11" t="s">
        <v>697</v>
      </c>
    </row>
    <row r="217" spans="1:13" x14ac:dyDescent="0.25">
      <c r="A217" s="10">
        <v>1215</v>
      </c>
      <c r="B217" s="5" t="s">
        <v>697</v>
      </c>
      <c r="C217" s="2" t="s">
        <v>37</v>
      </c>
      <c r="D217" s="2" t="s">
        <v>38</v>
      </c>
      <c r="E217" s="2" t="s">
        <v>82</v>
      </c>
      <c r="F217" s="2" t="s">
        <v>60</v>
      </c>
      <c r="G217" s="2">
        <v>3</v>
      </c>
      <c r="H217" s="6">
        <v>4.99</v>
      </c>
      <c r="I217" s="4">
        <f t="shared" si="3"/>
        <v>14.97</v>
      </c>
      <c r="J217" s="2" t="s">
        <v>19</v>
      </c>
      <c r="K217" s="2" t="s">
        <v>129</v>
      </c>
      <c r="L217" s="2" t="s">
        <v>29</v>
      </c>
      <c r="M217" s="11" t="s">
        <v>697</v>
      </c>
    </row>
    <row r="218" spans="1:13" x14ac:dyDescent="0.25">
      <c r="A218" s="10">
        <v>1216</v>
      </c>
      <c r="B218" s="5" t="s">
        <v>697</v>
      </c>
      <c r="C218" s="2" t="s">
        <v>14</v>
      </c>
      <c r="D218" s="2" t="s">
        <v>84</v>
      </c>
      <c r="E218" s="2" t="s">
        <v>92</v>
      </c>
      <c r="F218" s="2" t="s">
        <v>26</v>
      </c>
      <c r="G218" s="4" t="s">
        <v>697</v>
      </c>
      <c r="H218" s="6">
        <v>14.99</v>
      </c>
      <c r="I218" s="4" t="str">
        <f t="shared" si="3"/>
        <v>N/A</v>
      </c>
      <c r="J218" s="2" t="s">
        <v>33</v>
      </c>
      <c r="K218" s="2" t="s">
        <v>28</v>
      </c>
      <c r="L218" s="2" t="s">
        <v>35</v>
      </c>
      <c r="M218" s="11" t="s">
        <v>697</v>
      </c>
    </row>
    <row r="219" spans="1:13" x14ac:dyDescent="0.25">
      <c r="A219" s="10">
        <v>1217</v>
      </c>
      <c r="B219" s="3">
        <v>45016</v>
      </c>
      <c r="C219" s="2" t="s">
        <v>14</v>
      </c>
      <c r="D219" s="2" t="s">
        <v>15</v>
      </c>
      <c r="E219" s="2" t="s">
        <v>82</v>
      </c>
      <c r="F219" s="2" t="s">
        <v>60</v>
      </c>
      <c r="G219" s="4" t="s">
        <v>697</v>
      </c>
      <c r="H219" s="6">
        <v>4.99</v>
      </c>
      <c r="I219" s="4" t="str">
        <f t="shared" si="3"/>
        <v>N/A</v>
      </c>
      <c r="J219" s="2" t="s">
        <v>54</v>
      </c>
      <c r="K219" s="2" t="s">
        <v>55</v>
      </c>
      <c r="L219" s="2" t="s">
        <v>40</v>
      </c>
      <c r="M219" s="11" t="s">
        <v>697</v>
      </c>
    </row>
    <row r="220" spans="1:13" x14ac:dyDescent="0.25">
      <c r="A220" s="10">
        <v>1218</v>
      </c>
      <c r="B220" s="3">
        <v>44996</v>
      </c>
      <c r="C220" s="2" t="s">
        <v>42</v>
      </c>
      <c r="D220" s="2" t="s">
        <v>43</v>
      </c>
      <c r="E220" s="2" t="s">
        <v>39</v>
      </c>
      <c r="F220" s="2" t="s">
        <v>17</v>
      </c>
      <c r="G220" s="2">
        <v>5</v>
      </c>
      <c r="H220" s="6">
        <v>39.99</v>
      </c>
      <c r="I220" s="4">
        <f t="shared" si="3"/>
        <v>199.95000000000002</v>
      </c>
      <c r="J220" s="2" t="s">
        <v>33</v>
      </c>
      <c r="K220" s="2" t="s">
        <v>45</v>
      </c>
      <c r="L220" s="2" t="s">
        <v>40</v>
      </c>
      <c r="M220" s="11" t="s">
        <v>697</v>
      </c>
    </row>
    <row r="221" spans="1:13" x14ac:dyDescent="0.25">
      <c r="A221" s="10">
        <v>1219</v>
      </c>
      <c r="B221" s="3">
        <v>45284</v>
      </c>
      <c r="C221" s="2" t="s">
        <v>70</v>
      </c>
      <c r="D221" s="2" t="s">
        <v>71</v>
      </c>
      <c r="E221" s="2" t="s">
        <v>52</v>
      </c>
      <c r="F221" s="2" t="s">
        <v>53</v>
      </c>
      <c r="G221" s="4" t="s">
        <v>697</v>
      </c>
      <c r="H221" s="6">
        <v>59.99</v>
      </c>
      <c r="I221" s="4" t="str">
        <f t="shared" si="3"/>
        <v>N/A</v>
      </c>
      <c r="J221" s="2" t="s">
        <v>27</v>
      </c>
      <c r="K221" s="2" t="s">
        <v>45</v>
      </c>
      <c r="L221" s="2" t="s">
        <v>35</v>
      </c>
      <c r="M221" s="11" t="s">
        <v>697</v>
      </c>
    </row>
    <row r="222" spans="1:13" x14ac:dyDescent="0.25">
      <c r="A222" s="10">
        <v>1220</v>
      </c>
      <c r="B222" s="5" t="s">
        <v>697</v>
      </c>
      <c r="C222" s="2" t="s">
        <v>42</v>
      </c>
      <c r="D222" s="2" t="s">
        <v>43</v>
      </c>
      <c r="E222" s="2" t="s">
        <v>31</v>
      </c>
      <c r="F222" s="2" t="s">
        <v>32</v>
      </c>
      <c r="G222" s="4" t="s">
        <v>697</v>
      </c>
      <c r="H222" s="6">
        <v>79.989999999999995</v>
      </c>
      <c r="I222" s="4" t="str">
        <f t="shared" si="3"/>
        <v>N/A</v>
      </c>
      <c r="J222" s="2" t="s">
        <v>54</v>
      </c>
      <c r="K222" s="2" t="s">
        <v>28</v>
      </c>
      <c r="L222" s="2" t="s">
        <v>40</v>
      </c>
      <c r="M222" s="11" t="s">
        <v>697</v>
      </c>
    </row>
    <row r="223" spans="1:13" x14ac:dyDescent="0.25">
      <c r="A223" s="10">
        <v>1221</v>
      </c>
      <c r="B223" s="3">
        <v>45386</v>
      </c>
      <c r="C223" s="2" t="s">
        <v>37</v>
      </c>
      <c r="D223" s="2" t="s">
        <v>38</v>
      </c>
      <c r="E223" s="2" t="s">
        <v>85</v>
      </c>
      <c r="F223" s="2" t="s">
        <v>26</v>
      </c>
      <c r="G223" s="2">
        <v>3</v>
      </c>
      <c r="H223" s="6">
        <v>99.99</v>
      </c>
      <c r="I223" s="4">
        <f t="shared" si="3"/>
        <v>299.96999999999997</v>
      </c>
      <c r="J223" s="2" t="s">
        <v>33</v>
      </c>
      <c r="K223" s="2" t="s">
        <v>129</v>
      </c>
      <c r="L223" s="2" t="s">
        <v>35</v>
      </c>
      <c r="M223" s="11" t="s">
        <v>697</v>
      </c>
    </row>
    <row r="224" spans="1:13" x14ac:dyDescent="0.25">
      <c r="A224" s="10">
        <v>1222</v>
      </c>
      <c r="B224" s="3">
        <v>45255</v>
      </c>
      <c r="C224" s="2" t="s">
        <v>42</v>
      </c>
      <c r="D224" s="2" t="s">
        <v>48</v>
      </c>
      <c r="E224" s="2" t="s">
        <v>82</v>
      </c>
      <c r="F224" s="2" t="s">
        <v>60</v>
      </c>
      <c r="G224" s="2">
        <v>1</v>
      </c>
      <c r="H224" s="6">
        <v>4.99</v>
      </c>
      <c r="I224" s="4">
        <f t="shared" si="3"/>
        <v>4.99</v>
      </c>
      <c r="J224" s="2" t="s">
        <v>27</v>
      </c>
      <c r="K224" s="2" t="s">
        <v>45</v>
      </c>
      <c r="L224" s="2" t="s">
        <v>29</v>
      </c>
      <c r="M224" s="11" t="s">
        <v>697</v>
      </c>
    </row>
    <row r="225" spans="1:13" x14ac:dyDescent="0.25">
      <c r="A225" s="10">
        <v>1223</v>
      </c>
      <c r="B225" s="3">
        <v>45116</v>
      </c>
      <c r="C225" s="2" t="s">
        <v>14</v>
      </c>
      <c r="D225" s="2" t="s">
        <v>15</v>
      </c>
      <c r="E225" s="2" t="s">
        <v>85</v>
      </c>
      <c r="F225" s="2" t="s">
        <v>26</v>
      </c>
      <c r="G225" s="4" t="s">
        <v>697</v>
      </c>
      <c r="H225" s="6">
        <v>99.99</v>
      </c>
      <c r="I225" s="4" t="str">
        <f t="shared" si="3"/>
        <v>N/A</v>
      </c>
      <c r="J225" s="2" t="s">
        <v>33</v>
      </c>
      <c r="K225" s="2" t="s">
        <v>28</v>
      </c>
      <c r="L225" s="2" t="s">
        <v>35</v>
      </c>
      <c r="M225" s="11" t="s">
        <v>697</v>
      </c>
    </row>
    <row r="226" spans="1:13" x14ac:dyDescent="0.25">
      <c r="A226" s="10">
        <v>1224</v>
      </c>
      <c r="B226" s="3">
        <v>45069</v>
      </c>
      <c r="C226" s="2" t="s">
        <v>65</v>
      </c>
      <c r="D226" s="2" t="s">
        <v>66</v>
      </c>
      <c r="E226" s="2" t="s">
        <v>127</v>
      </c>
      <c r="F226" s="2" t="s">
        <v>73</v>
      </c>
      <c r="G226" s="2">
        <v>5</v>
      </c>
      <c r="H226" s="6">
        <v>29.99</v>
      </c>
      <c r="I226" s="4">
        <f t="shared" si="3"/>
        <v>149.94999999999999</v>
      </c>
      <c r="J226" s="2" t="s">
        <v>33</v>
      </c>
      <c r="K226" s="2" t="s">
        <v>129</v>
      </c>
      <c r="L226" s="2" t="s">
        <v>35</v>
      </c>
      <c r="M226" s="11" t="s">
        <v>697</v>
      </c>
    </row>
    <row r="227" spans="1:13" x14ac:dyDescent="0.25">
      <c r="A227" s="10">
        <v>1225</v>
      </c>
      <c r="B227" s="3">
        <v>45108</v>
      </c>
      <c r="C227" s="2" t="s">
        <v>70</v>
      </c>
      <c r="D227" s="2" t="s">
        <v>131</v>
      </c>
      <c r="E227" s="2" t="s">
        <v>52</v>
      </c>
      <c r="F227" s="2" t="s">
        <v>53</v>
      </c>
      <c r="G227" s="4" t="s">
        <v>697</v>
      </c>
      <c r="H227" s="6">
        <v>59.99</v>
      </c>
      <c r="I227" s="4" t="str">
        <f t="shared" si="3"/>
        <v>N/A</v>
      </c>
      <c r="J227" s="2" t="s">
        <v>54</v>
      </c>
      <c r="K227" s="2" t="s">
        <v>45</v>
      </c>
      <c r="L227" s="2" t="s">
        <v>40</v>
      </c>
      <c r="M227" s="11" t="s">
        <v>697</v>
      </c>
    </row>
    <row r="228" spans="1:13" x14ac:dyDescent="0.25">
      <c r="A228" s="10">
        <v>1226</v>
      </c>
      <c r="B228" s="3">
        <v>45061</v>
      </c>
      <c r="C228" s="2" t="s">
        <v>23</v>
      </c>
      <c r="D228" s="2" t="s">
        <v>81</v>
      </c>
      <c r="E228" s="2" t="s">
        <v>127</v>
      </c>
      <c r="F228" s="2" t="s">
        <v>73</v>
      </c>
      <c r="G228" s="4" t="s">
        <v>697</v>
      </c>
      <c r="H228" s="6">
        <v>29.99</v>
      </c>
      <c r="I228" s="4" t="str">
        <f t="shared" si="3"/>
        <v>N/A</v>
      </c>
      <c r="J228" s="2" t="s">
        <v>33</v>
      </c>
      <c r="K228" s="2" t="s">
        <v>34</v>
      </c>
      <c r="L228" s="2" t="s">
        <v>35</v>
      </c>
      <c r="M228" s="11" t="s">
        <v>697</v>
      </c>
    </row>
    <row r="229" spans="1:13" x14ac:dyDescent="0.25">
      <c r="A229" s="10">
        <v>1227</v>
      </c>
      <c r="B229" s="3">
        <v>44945</v>
      </c>
      <c r="C229" s="2" t="s">
        <v>23</v>
      </c>
      <c r="D229" s="2" t="s">
        <v>24</v>
      </c>
      <c r="E229" s="2" t="s">
        <v>127</v>
      </c>
      <c r="F229" s="2" t="s">
        <v>73</v>
      </c>
      <c r="G229" s="2">
        <v>3</v>
      </c>
      <c r="H229" s="6">
        <v>29.99</v>
      </c>
      <c r="I229" s="4">
        <f t="shared" si="3"/>
        <v>89.97</v>
      </c>
      <c r="J229" s="2" t="s">
        <v>33</v>
      </c>
      <c r="K229" s="2" t="s">
        <v>28</v>
      </c>
      <c r="L229" s="2" t="s">
        <v>35</v>
      </c>
      <c r="M229" s="11" t="s">
        <v>697</v>
      </c>
    </row>
    <row r="230" spans="1:13" x14ac:dyDescent="0.25">
      <c r="A230" s="10">
        <v>1228</v>
      </c>
      <c r="B230" s="5" t="s">
        <v>697</v>
      </c>
      <c r="C230" s="2" t="s">
        <v>14</v>
      </c>
      <c r="D230" s="2" t="s">
        <v>15</v>
      </c>
      <c r="E230" s="2" t="s">
        <v>31</v>
      </c>
      <c r="F230" s="2" t="s">
        <v>32</v>
      </c>
      <c r="G230" s="4" t="s">
        <v>697</v>
      </c>
      <c r="H230" s="6">
        <v>79.989999999999995</v>
      </c>
      <c r="I230" s="4" t="str">
        <f t="shared" si="3"/>
        <v>N/A</v>
      </c>
      <c r="J230" s="2" t="s">
        <v>27</v>
      </c>
      <c r="K230" s="2" t="s">
        <v>28</v>
      </c>
      <c r="L230" s="2" t="s">
        <v>40</v>
      </c>
      <c r="M230" s="11" t="s">
        <v>697</v>
      </c>
    </row>
    <row r="231" spans="1:13" x14ac:dyDescent="0.25">
      <c r="A231" s="10">
        <v>1229</v>
      </c>
      <c r="B231" s="3">
        <v>44957</v>
      </c>
      <c r="C231" s="2" t="s">
        <v>37</v>
      </c>
      <c r="D231" s="2" t="s">
        <v>38</v>
      </c>
      <c r="E231" s="2" t="s">
        <v>72</v>
      </c>
      <c r="F231" s="2" t="s">
        <v>73</v>
      </c>
      <c r="G231" s="2">
        <v>4</v>
      </c>
      <c r="H231" s="6">
        <v>49.99</v>
      </c>
      <c r="I231" s="4">
        <f t="shared" si="3"/>
        <v>199.96</v>
      </c>
      <c r="J231" s="2" t="s">
        <v>19</v>
      </c>
      <c r="K231" s="2" t="s">
        <v>129</v>
      </c>
      <c r="L231" s="2" t="s">
        <v>35</v>
      </c>
      <c r="M231" s="11" t="s">
        <v>697</v>
      </c>
    </row>
    <row r="232" spans="1:13" x14ac:dyDescent="0.25">
      <c r="A232" s="10">
        <v>1230</v>
      </c>
      <c r="B232" s="3">
        <v>45246</v>
      </c>
      <c r="C232" s="2" t="s">
        <v>77</v>
      </c>
      <c r="D232" s="2" t="s">
        <v>114</v>
      </c>
      <c r="E232" s="2" t="s">
        <v>31</v>
      </c>
      <c r="F232" s="2" t="s">
        <v>32</v>
      </c>
      <c r="G232" s="2">
        <v>2</v>
      </c>
      <c r="H232" s="6">
        <v>79.989999999999995</v>
      </c>
      <c r="I232" s="4">
        <f t="shared" si="3"/>
        <v>159.97999999999999</v>
      </c>
      <c r="J232" s="2" t="s">
        <v>33</v>
      </c>
      <c r="K232" s="2" t="s">
        <v>28</v>
      </c>
      <c r="L232" s="2" t="s">
        <v>40</v>
      </c>
      <c r="M232" s="11" t="s">
        <v>697</v>
      </c>
    </row>
    <row r="233" spans="1:13" x14ac:dyDescent="0.25">
      <c r="A233" s="10">
        <v>1231</v>
      </c>
      <c r="B233" s="3">
        <v>45014</v>
      </c>
      <c r="C233" s="2" t="s">
        <v>23</v>
      </c>
      <c r="D233" s="2" t="s">
        <v>81</v>
      </c>
      <c r="E233" s="2" t="s">
        <v>82</v>
      </c>
      <c r="F233" s="2" t="s">
        <v>60</v>
      </c>
      <c r="G233" s="2">
        <v>5</v>
      </c>
      <c r="H233" s="6">
        <v>4.99</v>
      </c>
      <c r="I233" s="4">
        <f t="shared" si="3"/>
        <v>24.950000000000003</v>
      </c>
      <c r="J233" s="2" t="s">
        <v>33</v>
      </c>
      <c r="K233" s="2" t="s">
        <v>28</v>
      </c>
      <c r="L233" s="2" t="s">
        <v>35</v>
      </c>
      <c r="M233" s="12" t="s">
        <v>63</v>
      </c>
    </row>
    <row r="234" spans="1:13" x14ac:dyDescent="0.25">
      <c r="A234" s="10">
        <v>1232</v>
      </c>
      <c r="B234" s="3">
        <v>45392</v>
      </c>
      <c r="C234" s="2" t="s">
        <v>70</v>
      </c>
      <c r="D234" s="2" t="s">
        <v>71</v>
      </c>
      <c r="E234" s="2" t="s">
        <v>85</v>
      </c>
      <c r="F234" s="2" t="s">
        <v>26</v>
      </c>
      <c r="G234" s="2">
        <v>2</v>
      </c>
      <c r="H234" s="6">
        <v>99.99</v>
      </c>
      <c r="I234" s="4">
        <f t="shared" si="3"/>
        <v>199.98</v>
      </c>
      <c r="J234" s="2" t="s">
        <v>19</v>
      </c>
      <c r="K234" s="2" t="s">
        <v>45</v>
      </c>
      <c r="L234" s="2" t="s">
        <v>35</v>
      </c>
      <c r="M234" s="11" t="s">
        <v>697</v>
      </c>
    </row>
    <row r="235" spans="1:13" x14ac:dyDescent="0.25">
      <c r="A235" s="10">
        <v>1233</v>
      </c>
      <c r="B235" s="3">
        <v>44961</v>
      </c>
      <c r="C235" s="2" t="s">
        <v>697</v>
      </c>
      <c r="D235" s="2" t="s">
        <v>43</v>
      </c>
      <c r="E235" s="2" t="s">
        <v>92</v>
      </c>
      <c r="F235" s="2" t="s">
        <v>26</v>
      </c>
      <c r="G235" s="4" t="s">
        <v>697</v>
      </c>
      <c r="H235" s="6">
        <v>14.99</v>
      </c>
      <c r="I235" s="4" t="str">
        <f t="shared" si="3"/>
        <v>N/A</v>
      </c>
      <c r="J235" s="2" t="s">
        <v>19</v>
      </c>
      <c r="K235" s="2" t="s">
        <v>45</v>
      </c>
      <c r="L235" s="2" t="s">
        <v>40</v>
      </c>
      <c r="M235" s="11" t="s">
        <v>697</v>
      </c>
    </row>
    <row r="236" spans="1:13" x14ac:dyDescent="0.25">
      <c r="A236" s="10">
        <v>1234</v>
      </c>
      <c r="B236" s="3">
        <v>45044</v>
      </c>
      <c r="C236" s="2" t="s">
        <v>77</v>
      </c>
      <c r="D236" s="2" t="s">
        <v>91</v>
      </c>
      <c r="E236" s="2" t="s">
        <v>44</v>
      </c>
      <c r="F236" s="2" t="s">
        <v>17</v>
      </c>
      <c r="G236" s="2">
        <v>1</v>
      </c>
      <c r="H236" s="6">
        <v>15.99</v>
      </c>
      <c r="I236" s="4">
        <f t="shared" si="3"/>
        <v>15.99</v>
      </c>
      <c r="J236" s="2" t="s">
        <v>19</v>
      </c>
      <c r="K236" s="2" t="s">
        <v>55</v>
      </c>
      <c r="L236" s="2" t="s">
        <v>35</v>
      </c>
      <c r="M236" s="11" t="s">
        <v>697</v>
      </c>
    </row>
    <row r="237" spans="1:13" x14ac:dyDescent="0.25">
      <c r="A237" s="10">
        <v>1235</v>
      </c>
      <c r="B237" s="5" t="s">
        <v>697</v>
      </c>
      <c r="C237" s="2" t="s">
        <v>70</v>
      </c>
      <c r="D237" s="2" t="s">
        <v>131</v>
      </c>
      <c r="E237" s="2" t="s">
        <v>85</v>
      </c>
      <c r="F237" s="2" t="s">
        <v>26</v>
      </c>
      <c r="G237" s="2">
        <v>1</v>
      </c>
      <c r="H237" s="6">
        <v>99.99</v>
      </c>
      <c r="I237" s="4">
        <f t="shared" si="3"/>
        <v>99.99</v>
      </c>
      <c r="J237" s="2" t="s">
        <v>33</v>
      </c>
      <c r="K237" s="2" t="s">
        <v>129</v>
      </c>
      <c r="L237" s="2" t="s">
        <v>35</v>
      </c>
      <c r="M237" s="11" t="s">
        <v>697</v>
      </c>
    </row>
    <row r="238" spans="1:13" x14ac:dyDescent="0.25">
      <c r="A238" s="10">
        <v>1236</v>
      </c>
      <c r="B238" s="3">
        <v>45159</v>
      </c>
      <c r="C238" s="2" t="s">
        <v>23</v>
      </c>
      <c r="D238" s="2" t="s">
        <v>24</v>
      </c>
      <c r="E238" s="2" t="s">
        <v>39</v>
      </c>
      <c r="F238" s="2" t="s">
        <v>17</v>
      </c>
      <c r="G238" s="2">
        <v>3</v>
      </c>
      <c r="H238" s="6">
        <v>39.99</v>
      </c>
      <c r="I238" s="4">
        <f t="shared" si="3"/>
        <v>119.97</v>
      </c>
      <c r="J238" s="2" t="s">
        <v>54</v>
      </c>
      <c r="K238" s="2" t="s">
        <v>28</v>
      </c>
      <c r="L238" s="2" t="s">
        <v>35</v>
      </c>
      <c r="M238" s="11" t="s">
        <v>697</v>
      </c>
    </row>
    <row r="239" spans="1:13" x14ac:dyDescent="0.25">
      <c r="A239" s="10">
        <v>1237</v>
      </c>
      <c r="B239" s="3">
        <v>44996</v>
      </c>
      <c r="C239" s="2" t="s">
        <v>77</v>
      </c>
      <c r="D239" s="2" t="s">
        <v>78</v>
      </c>
      <c r="E239" s="2" t="s">
        <v>72</v>
      </c>
      <c r="F239" s="2" t="s">
        <v>73</v>
      </c>
      <c r="G239" s="2">
        <v>3</v>
      </c>
      <c r="H239" s="6">
        <v>49.99</v>
      </c>
      <c r="I239" s="4">
        <f t="shared" si="3"/>
        <v>149.97</v>
      </c>
      <c r="J239" s="2" t="s">
        <v>33</v>
      </c>
      <c r="K239" s="2" t="s">
        <v>129</v>
      </c>
      <c r="L239" s="2" t="s">
        <v>35</v>
      </c>
      <c r="M239" s="11" t="s">
        <v>697</v>
      </c>
    </row>
    <row r="240" spans="1:13" x14ac:dyDescent="0.25">
      <c r="A240" s="10">
        <v>1238</v>
      </c>
      <c r="B240" s="3">
        <v>45223</v>
      </c>
      <c r="C240" s="2" t="s">
        <v>65</v>
      </c>
      <c r="D240" s="2" t="s">
        <v>66</v>
      </c>
      <c r="E240" s="2" t="s">
        <v>39</v>
      </c>
      <c r="F240" s="2" t="s">
        <v>17</v>
      </c>
      <c r="G240" s="2">
        <v>2</v>
      </c>
      <c r="H240" s="6">
        <v>39.99</v>
      </c>
      <c r="I240" s="4">
        <f t="shared" si="3"/>
        <v>79.98</v>
      </c>
      <c r="J240" s="2" t="s">
        <v>33</v>
      </c>
      <c r="K240" s="2" t="s">
        <v>28</v>
      </c>
      <c r="L240" s="2" t="s">
        <v>40</v>
      </c>
      <c r="M240" s="11" t="s">
        <v>697</v>
      </c>
    </row>
    <row r="241" spans="1:13" x14ac:dyDescent="0.25">
      <c r="A241" s="10">
        <v>1239</v>
      </c>
      <c r="B241" s="3">
        <v>45367</v>
      </c>
      <c r="C241" s="2" t="s">
        <v>14</v>
      </c>
      <c r="D241" s="2" t="s">
        <v>84</v>
      </c>
      <c r="E241" s="2" t="s">
        <v>72</v>
      </c>
      <c r="F241" s="2" t="s">
        <v>73</v>
      </c>
      <c r="G241" s="2">
        <v>2</v>
      </c>
      <c r="H241" s="6">
        <v>49.99</v>
      </c>
      <c r="I241" s="4">
        <f t="shared" si="3"/>
        <v>99.98</v>
      </c>
      <c r="J241" s="2" t="s">
        <v>33</v>
      </c>
      <c r="K241" s="2" t="s">
        <v>28</v>
      </c>
      <c r="L241" s="2" t="s">
        <v>40</v>
      </c>
      <c r="M241" s="11" t="s">
        <v>697</v>
      </c>
    </row>
    <row r="242" spans="1:13" x14ac:dyDescent="0.25">
      <c r="A242" s="10">
        <v>1240</v>
      </c>
      <c r="B242" s="5" t="s">
        <v>697</v>
      </c>
      <c r="C242" s="2" t="s">
        <v>37</v>
      </c>
      <c r="D242" s="2" t="s">
        <v>169</v>
      </c>
      <c r="E242" s="2" t="s">
        <v>31</v>
      </c>
      <c r="F242" s="2" t="s">
        <v>32</v>
      </c>
      <c r="G242" s="2">
        <v>4</v>
      </c>
      <c r="H242" s="6">
        <v>79.989999999999995</v>
      </c>
      <c r="I242" s="4">
        <f t="shared" si="3"/>
        <v>319.95999999999998</v>
      </c>
      <c r="J242" s="2" t="s">
        <v>33</v>
      </c>
      <c r="K242" s="2" t="s">
        <v>28</v>
      </c>
      <c r="L242" s="2" t="s">
        <v>29</v>
      </c>
      <c r="M242" s="11" t="s">
        <v>697</v>
      </c>
    </row>
    <row r="243" spans="1:13" x14ac:dyDescent="0.25">
      <c r="A243" s="10">
        <v>1241</v>
      </c>
      <c r="B243" s="3">
        <v>45384</v>
      </c>
      <c r="C243" s="2" t="s">
        <v>77</v>
      </c>
      <c r="D243" s="2" t="s">
        <v>91</v>
      </c>
      <c r="E243" s="2" t="s">
        <v>127</v>
      </c>
      <c r="F243" s="2" t="s">
        <v>73</v>
      </c>
      <c r="G243" s="2">
        <v>1</v>
      </c>
      <c r="H243" s="6">
        <v>29.99</v>
      </c>
      <c r="I243" s="4">
        <f t="shared" si="3"/>
        <v>29.99</v>
      </c>
      <c r="J243" s="2" t="s">
        <v>27</v>
      </c>
      <c r="K243" s="2" t="s">
        <v>45</v>
      </c>
      <c r="L243" s="2" t="s">
        <v>40</v>
      </c>
      <c r="M243" s="11" t="s">
        <v>697</v>
      </c>
    </row>
    <row r="244" spans="1:13" x14ac:dyDescent="0.25">
      <c r="A244" s="10">
        <v>1242</v>
      </c>
      <c r="B244" s="3">
        <v>45218</v>
      </c>
      <c r="C244" s="2" t="s">
        <v>70</v>
      </c>
      <c r="D244" s="2" t="s">
        <v>71</v>
      </c>
      <c r="E244" s="2" t="s">
        <v>31</v>
      </c>
      <c r="F244" s="2" t="s">
        <v>32</v>
      </c>
      <c r="G244" s="2">
        <v>3</v>
      </c>
      <c r="H244" s="6">
        <v>79.989999999999995</v>
      </c>
      <c r="I244" s="4">
        <f t="shared" si="3"/>
        <v>239.96999999999997</v>
      </c>
      <c r="J244" s="2" t="s">
        <v>54</v>
      </c>
      <c r="K244" s="2" t="s">
        <v>28</v>
      </c>
      <c r="L244" s="2" t="s">
        <v>35</v>
      </c>
      <c r="M244" s="11" t="s">
        <v>697</v>
      </c>
    </row>
    <row r="245" spans="1:13" x14ac:dyDescent="0.25">
      <c r="A245" s="10">
        <v>1243</v>
      </c>
      <c r="B245" s="5" t="s">
        <v>697</v>
      </c>
      <c r="C245" s="2" t="s">
        <v>65</v>
      </c>
      <c r="D245" s="2" t="s">
        <v>126</v>
      </c>
      <c r="E245" s="2" t="s">
        <v>82</v>
      </c>
      <c r="F245" s="2" t="s">
        <v>60</v>
      </c>
      <c r="G245" s="2">
        <v>3</v>
      </c>
      <c r="H245" s="6">
        <v>4.99</v>
      </c>
      <c r="I245" s="4">
        <f t="shared" si="3"/>
        <v>14.97</v>
      </c>
      <c r="J245" s="2" t="s">
        <v>27</v>
      </c>
      <c r="K245" s="2" t="s">
        <v>45</v>
      </c>
      <c r="L245" s="2" t="s">
        <v>40</v>
      </c>
      <c r="M245" s="11" t="s">
        <v>697</v>
      </c>
    </row>
    <row r="246" spans="1:13" x14ac:dyDescent="0.25">
      <c r="A246" s="10">
        <v>1244</v>
      </c>
      <c r="B246" s="3">
        <v>45095</v>
      </c>
      <c r="C246" s="2" t="s">
        <v>70</v>
      </c>
      <c r="D246" s="2" t="s">
        <v>71</v>
      </c>
      <c r="E246" s="2" t="s">
        <v>31</v>
      </c>
      <c r="F246" s="2" t="s">
        <v>32</v>
      </c>
      <c r="G246" s="2">
        <v>4</v>
      </c>
      <c r="H246" s="6">
        <v>79.989999999999995</v>
      </c>
      <c r="I246" s="4">
        <f t="shared" si="3"/>
        <v>319.95999999999998</v>
      </c>
      <c r="J246" s="2" t="s">
        <v>54</v>
      </c>
      <c r="K246" s="2" t="s">
        <v>28</v>
      </c>
      <c r="L246" s="2" t="s">
        <v>40</v>
      </c>
      <c r="M246" s="11" t="s">
        <v>697</v>
      </c>
    </row>
    <row r="247" spans="1:13" x14ac:dyDescent="0.25">
      <c r="A247" s="10">
        <v>1245</v>
      </c>
      <c r="B247" s="3">
        <v>44964</v>
      </c>
      <c r="C247" s="2" t="s">
        <v>14</v>
      </c>
      <c r="D247" s="2" t="s">
        <v>15</v>
      </c>
      <c r="E247" s="2" t="s">
        <v>127</v>
      </c>
      <c r="F247" s="2" t="s">
        <v>73</v>
      </c>
      <c r="G247" s="2">
        <v>1</v>
      </c>
      <c r="H247" s="6">
        <v>29.99</v>
      </c>
      <c r="I247" s="4">
        <f t="shared" si="3"/>
        <v>29.99</v>
      </c>
      <c r="J247" s="2" t="s">
        <v>33</v>
      </c>
      <c r="K247" s="2" t="s">
        <v>28</v>
      </c>
      <c r="L247" s="2" t="s">
        <v>29</v>
      </c>
      <c r="M247" s="11" t="s">
        <v>697</v>
      </c>
    </row>
    <row r="248" spans="1:13" x14ac:dyDescent="0.25">
      <c r="A248" s="10">
        <v>1246</v>
      </c>
      <c r="B248" s="5" t="s">
        <v>697</v>
      </c>
      <c r="C248" s="2" t="s">
        <v>65</v>
      </c>
      <c r="D248" s="2" t="s">
        <v>126</v>
      </c>
      <c r="E248" s="2" t="s">
        <v>85</v>
      </c>
      <c r="F248" s="2" t="s">
        <v>26</v>
      </c>
      <c r="G248" s="2">
        <v>3</v>
      </c>
      <c r="H248" s="6">
        <v>99.99</v>
      </c>
      <c r="I248" s="4">
        <f t="shared" si="3"/>
        <v>299.96999999999997</v>
      </c>
      <c r="J248" s="2" t="s">
        <v>54</v>
      </c>
      <c r="K248" s="2" t="s">
        <v>129</v>
      </c>
      <c r="L248" s="2" t="s">
        <v>35</v>
      </c>
      <c r="M248" s="11" t="s">
        <v>697</v>
      </c>
    </row>
    <row r="249" spans="1:13" x14ac:dyDescent="0.25">
      <c r="A249" s="10">
        <v>1247</v>
      </c>
      <c r="B249" s="5" t="s">
        <v>697</v>
      </c>
      <c r="C249" s="2" t="s">
        <v>37</v>
      </c>
      <c r="D249" s="4" t="s">
        <v>697</v>
      </c>
      <c r="E249" s="2" t="s">
        <v>39</v>
      </c>
      <c r="F249" s="2" t="s">
        <v>17</v>
      </c>
      <c r="G249" s="2">
        <v>3</v>
      </c>
      <c r="H249" s="6">
        <v>39.99</v>
      </c>
      <c r="I249" s="4">
        <f t="shared" si="3"/>
        <v>119.97</v>
      </c>
      <c r="J249" s="2" t="s">
        <v>33</v>
      </c>
      <c r="K249" s="2" t="s">
        <v>45</v>
      </c>
      <c r="L249" s="2" t="s">
        <v>29</v>
      </c>
      <c r="M249" s="11" t="s">
        <v>697</v>
      </c>
    </row>
    <row r="250" spans="1:13" x14ac:dyDescent="0.25">
      <c r="A250" s="10">
        <v>1248</v>
      </c>
      <c r="B250" s="5" t="s">
        <v>697</v>
      </c>
      <c r="C250" s="2" t="s">
        <v>14</v>
      </c>
      <c r="D250" s="2" t="s">
        <v>15</v>
      </c>
      <c r="E250" s="2" t="s">
        <v>92</v>
      </c>
      <c r="F250" s="2" t="s">
        <v>26</v>
      </c>
      <c r="G250" s="2">
        <v>5</v>
      </c>
      <c r="H250" s="6">
        <v>14.99</v>
      </c>
      <c r="I250" s="4">
        <f t="shared" si="3"/>
        <v>74.95</v>
      </c>
      <c r="J250" s="2" t="s">
        <v>33</v>
      </c>
      <c r="K250" s="2" t="s">
        <v>45</v>
      </c>
      <c r="L250" s="2" t="s">
        <v>29</v>
      </c>
      <c r="M250" s="11" t="s">
        <v>697</v>
      </c>
    </row>
    <row r="251" spans="1:13" x14ac:dyDescent="0.25">
      <c r="A251" s="10">
        <v>1249</v>
      </c>
      <c r="B251" s="3">
        <v>45215</v>
      </c>
      <c r="C251" s="2" t="s">
        <v>77</v>
      </c>
      <c r="D251" s="2" t="s">
        <v>114</v>
      </c>
      <c r="E251" s="2" t="s">
        <v>39</v>
      </c>
      <c r="F251" s="2" t="s">
        <v>17</v>
      </c>
      <c r="G251" s="4" t="s">
        <v>697</v>
      </c>
      <c r="H251" s="6">
        <v>39.99</v>
      </c>
      <c r="I251" s="4" t="str">
        <f t="shared" si="3"/>
        <v>N/A</v>
      </c>
      <c r="J251" s="2" t="s">
        <v>33</v>
      </c>
      <c r="K251" s="2" t="s">
        <v>45</v>
      </c>
      <c r="L251" s="2" t="s">
        <v>35</v>
      </c>
      <c r="M251" s="11" t="s">
        <v>697</v>
      </c>
    </row>
    <row r="252" spans="1:13" x14ac:dyDescent="0.25">
      <c r="A252" s="10">
        <v>1250</v>
      </c>
      <c r="B252" s="3">
        <v>45380</v>
      </c>
      <c r="C252" s="2" t="s">
        <v>77</v>
      </c>
      <c r="D252" s="2" t="s">
        <v>91</v>
      </c>
      <c r="E252" s="2" t="s">
        <v>44</v>
      </c>
      <c r="F252" s="2" t="s">
        <v>17</v>
      </c>
      <c r="G252" s="2">
        <v>1</v>
      </c>
      <c r="H252" s="6">
        <v>15.99</v>
      </c>
      <c r="I252" s="4">
        <f t="shared" si="3"/>
        <v>15.99</v>
      </c>
      <c r="J252" s="2" t="s">
        <v>19</v>
      </c>
      <c r="K252" s="2" t="s">
        <v>129</v>
      </c>
      <c r="L252" s="2" t="s">
        <v>29</v>
      </c>
      <c r="M252" s="11" t="s">
        <v>697</v>
      </c>
    </row>
    <row r="253" spans="1:13" x14ac:dyDescent="0.25">
      <c r="A253" s="10">
        <v>1251</v>
      </c>
      <c r="B253" s="3">
        <v>45049</v>
      </c>
      <c r="C253" s="2" t="s">
        <v>77</v>
      </c>
      <c r="D253" s="2" t="s">
        <v>114</v>
      </c>
      <c r="E253" s="2" t="s">
        <v>44</v>
      </c>
      <c r="F253" s="2" t="s">
        <v>17</v>
      </c>
      <c r="G253" s="2">
        <v>3</v>
      </c>
      <c r="H253" s="6">
        <v>15.99</v>
      </c>
      <c r="I253" s="4">
        <f t="shared" si="3"/>
        <v>47.97</v>
      </c>
      <c r="J253" s="2" t="s">
        <v>33</v>
      </c>
      <c r="K253" s="2" t="s">
        <v>28</v>
      </c>
      <c r="L253" s="2" t="s">
        <v>35</v>
      </c>
      <c r="M253" s="11" t="s">
        <v>697</v>
      </c>
    </row>
    <row r="254" spans="1:13" x14ac:dyDescent="0.25">
      <c r="A254" s="10">
        <v>1252</v>
      </c>
      <c r="B254" s="5" t="s">
        <v>697</v>
      </c>
      <c r="C254" s="2" t="s">
        <v>14</v>
      </c>
      <c r="D254" s="2" t="s">
        <v>84</v>
      </c>
      <c r="E254" s="2" t="s">
        <v>82</v>
      </c>
      <c r="F254" s="2" t="s">
        <v>60</v>
      </c>
      <c r="G254" s="4" t="s">
        <v>697</v>
      </c>
      <c r="H254" s="6">
        <v>4.99</v>
      </c>
      <c r="I254" s="4" t="str">
        <f t="shared" si="3"/>
        <v>N/A</v>
      </c>
      <c r="J254" s="2" t="s">
        <v>54</v>
      </c>
      <c r="K254" s="2" t="s">
        <v>45</v>
      </c>
      <c r="L254" s="2" t="s">
        <v>35</v>
      </c>
      <c r="M254" s="11" t="s">
        <v>697</v>
      </c>
    </row>
    <row r="255" spans="1:13" x14ac:dyDescent="0.25">
      <c r="A255" s="10">
        <v>1253</v>
      </c>
      <c r="B255" s="5" t="s">
        <v>697</v>
      </c>
      <c r="C255" s="2" t="s">
        <v>70</v>
      </c>
      <c r="D255" s="2" t="s">
        <v>71</v>
      </c>
      <c r="E255" s="2" t="s">
        <v>44</v>
      </c>
      <c r="F255" s="2" t="s">
        <v>17</v>
      </c>
      <c r="G255" s="2">
        <v>4</v>
      </c>
      <c r="H255" s="6">
        <v>15.99</v>
      </c>
      <c r="I255" s="4">
        <f t="shared" si="3"/>
        <v>63.96</v>
      </c>
      <c r="J255" s="2" t="s">
        <v>33</v>
      </c>
      <c r="K255" s="2" t="s">
        <v>28</v>
      </c>
      <c r="L255" s="2" t="s">
        <v>40</v>
      </c>
      <c r="M255" s="11" t="s">
        <v>697</v>
      </c>
    </row>
    <row r="256" spans="1:13" x14ac:dyDescent="0.25">
      <c r="A256" s="10">
        <v>1254</v>
      </c>
      <c r="B256" s="3">
        <v>45212</v>
      </c>
      <c r="C256" s="2" t="s">
        <v>42</v>
      </c>
      <c r="D256" s="2" t="s">
        <v>43</v>
      </c>
      <c r="E256" s="2" t="s">
        <v>72</v>
      </c>
      <c r="F256" s="2" t="s">
        <v>73</v>
      </c>
      <c r="G256" s="2">
        <v>4</v>
      </c>
      <c r="H256" s="6">
        <v>49.99</v>
      </c>
      <c r="I256" s="4">
        <f t="shared" si="3"/>
        <v>199.96</v>
      </c>
      <c r="J256" s="2" t="s">
        <v>33</v>
      </c>
      <c r="K256" s="2" t="s">
        <v>129</v>
      </c>
      <c r="L256" s="2" t="s">
        <v>35</v>
      </c>
      <c r="M256" s="11" t="s">
        <v>697</v>
      </c>
    </row>
    <row r="257" spans="1:13" x14ac:dyDescent="0.25">
      <c r="A257" s="10">
        <v>1255</v>
      </c>
      <c r="B257" s="3">
        <v>45063</v>
      </c>
      <c r="C257" s="2" t="s">
        <v>65</v>
      </c>
      <c r="D257" s="2" t="s">
        <v>126</v>
      </c>
      <c r="E257" s="2" t="s">
        <v>44</v>
      </c>
      <c r="F257" s="2" t="s">
        <v>17</v>
      </c>
      <c r="G257" s="4" t="s">
        <v>697</v>
      </c>
      <c r="H257" s="6">
        <v>15.99</v>
      </c>
      <c r="I257" s="4" t="str">
        <f t="shared" si="3"/>
        <v>N/A</v>
      </c>
      <c r="J257" s="2" t="s">
        <v>19</v>
      </c>
      <c r="K257" s="2" t="s">
        <v>129</v>
      </c>
      <c r="L257" s="2" t="s">
        <v>35</v>
      </c>
      <c r="M257" s="11" t="s">
        <v>697</v>
      </c>
    </row>
    <row r="258" spans="1:13" x14ac:dyDescent="0.25">
      <c r="A258" s="10">
        <v>1256</v>
      </c>
      <c r="B258" s="3">
        <v>45355</v>
      </c>
      <c r="C258" s="2" t="s">
        <v>697</v>
      </c>
      <c r="D258" s="2" t="s">
        <v>124</v>
      </c>
      <c r="E258" s="2" t="s">
        <v>85</v>
      </c>
      <c r="F258" s="2" t="s">
        <v>26</v>
      </c>
      <c r="G258" s="2">
        <v>3</v>
      </c>
      <c r="H258" s="6">
        <v>99.99</v>
      </c>
      <c r="I258" s="4">
        <f t="shared" si="3"/>
        <v>299.96999999999997</v>
      </c>
      <c r="J258" s="2" t="s">
        <v>33</v>
      </c>
      <c r="K258" s="2" t="s">
        <v>28</v>
      </c>
      <c r="L258" s="2" t="s">
        <v>29</v>
      </c>
      <c r="M258" s="11" t="s">
        <v>697</v>
      </c>
    </row>
    <row r="259" spans="1:13" x14ac:dyDescent="0.25">
      <c r="A259" s="10">
        <v>1257</v>
      </c>
      <c r="B259" s="3">
        <v>45410</v>
      </c>
      <c r="C259" s="2" t="s">
        <v>65</v>
      </c>
      <c r="D259" s="2" t="s">
        <v>126</v>
      </c>
      <c r="E259" s="2" t="s">
        <v>85</v>
      </c>
      <c r="F259" s="2" t="s">
        <v>26</v>
      </c>
      <c r="G259" s="4" t="s">
        <v>697</v>
      </c>
      <c r="H259" s="6">
        <v>99.99</v>
      </c>
      <c r="I259" s="4" t="str">
        <f t="shared" ref="I259:I322" si="4">IF(G259="N/A","N/A",PRODUCT(G259,H259))</f>
        <v>N/A</v>
      </c>
      <c r="J259" s="2" t="s">
        <v>27</v>
      </c>
      <c r="K259" s="2" t="s">
        <v>45</v>
      </c>
      <c r="L259" s="2" t="s">
        <v>35</v>
      </c>
      <c r="M259" s="11" t="s">
        <v>697</v>
      </c>
    </row>
    <row r="260" spans="1:13" x14ac:dyDescent="0.25">
      <c r="A260" s="10">
        <v>1258</v>
      </c>
      <c r="B260" s="3">
        <v>45167</v>
      </c>
      <c r="C260" s="2" t="s">
        <v>77</v>
      </c>
      <c r="D260" s="2" t="s">
        <v>91</v>
      </c>
      <c r="E260" s="2" t="s">
        <v>31</v>
      </c>
      <c r="F260" s="2" t="s">
        <v>32</v>
      </c>
      <c r="G260" s="2">
        <v>2</v>
      </c>
      <c r="H260" s="6">
        <v>79.989999999999995</v>
      </c>
      <c r="I260" s="4">
        <f t="shared" si="4"/>
        <v>159.97999999999999</v>
      </c>
      <c r="J260" s="2" t="s">
        <v>33</v>
      </c>
      <c r="K260" s="2" t="s">
        <v>129</v>
      </c>
      <c r="L260" s="2" t="s">
        <v>35</v>
      </c>
      <c r="M260" s="11" t="s">
        <v>697</v>
      </c>
    </row>
    <row r="261" spans="1:13" x14ac:dyDescent="0.25">
      <c r="A261" s="10">
        <v>1259</v>
      </c>
      <c r="B261" s="5" t="s">
        <v>697</v>
      </c>
      <c r="C261" s="2" t="s">
        <v>37</v>
      </c>
      <c r="D261" s="2" t="s">
        <v>38</v>
      </c>
      <c r="E261" s="2" t="s">
        <v>82</v>
      </c>
      <c r="F261" s="2" t="s">
        <v>60</v>
      </c>
      <c r="G261" s="2">
        <v>3</v>
      </c>
      <c r="H261" s="6">
        <v>4.99</v>
      </c>
      <c r="I261" s="4">
        <f t="shared" si="4"/>
        <v>14.97</v>
      </c>
      <c r="J261" s="2" t="s">
        <v>33</v>
      </c>
      <c r="K261" s="2" t="s">
        <v>34</v>
      </c>
      <c r="L261" s="2" t="s">
        <v>35</v>
      </c>
      <c r="M261" s="11" t="s">
        <v>697</v>
      </c>
    </row>
    <row r="262" spans="1:13" x14ac:dyDescent="0.25">
      <c r="A262" s="10">
        <v>1260</v>
      </c>
      <c r="B262" s="3">
        <v>44944</v>
      </c>
      <c r="C262" s="2" t="s">
        <v>23</v>
      </c>
      <c r="D262" s="2" t="s">
        <v>24</v>
      </c>
      <c r="E262" s="2" t="s">
        <v>72</v>
      </c>
      <c r="F262" s="2" t="s">
        <v>73</v>
      </c>
      <c r="G262" s="2">
        <v>2</v>
      </c>
      <c r="H262" s="6">
        <v>49.99</v>
      </c>
      <c r="I262" s="4">
        <f t="shared" si="4"/>
        <v>99.98</v>
      </c>
      <c r="J262" s="2" t="s">
        <v>33</v>
      </c>
      <c r="K262" s="2" t="s">
        <v>28</v>
      </c>
      <c r="L262" s="2" t="s">
        <v>35</v>
      </c>
      <c r="M262" s="11" t="s">
        <v>697</v>
      </c>
    </row>
    <row r="263" spans="1:13" x14ac:dyDescent="0.25">
      <c r="A263" s="10">
        <v>1261</v>
      </c>
      <c r="B263" s="3">
        <v>45238</v>
      </c>
      <c r="C263" s="2" t="s">
        <v>77</v>
      </c>
      <c r="D263" s="4" t="s">
        <v>697</v>
      </c>
      <c r="E263" s="2" t="s">
        <v>72</v>
      </c>
      <c r="F263" s="2" t="s">
        <v>73</v>
      </c>
      <c r="G263" s="4" t="s">
        <v>697</v>
      </c>
      <c r="H263" s="6">
        <v>49.99</v>
      </c>
      <c r="I263" s="4" t="str">
        <f t="shared" si="4"/>
        <v>N/A</v>
      </c>
      <c r="J263" s="2" t="s">
        <v>27</v>
      </c>
      <c r="K263" s="2" t="s">
        <v>28</v>
      </c>
      <c r="L263" s="2" t="s">
        <v>35</v>
      </c>
      <c r="M263" s="11" t="s">
        <v>697</v>
      </c>
    </row>
    <row r="264" spans="1:13" x14ac:dyDescent="0.25">
      <c r="A264" s="10">
        <v>1262</v>
      </c>
      <c r="B264" s="3">
        <v>44948</v>
      </c>
      <c r="C264" s="2" t="s">
        <v>70</v>
      </c>
      <c r="D264" s="2" t="s">
        <v>71</v>
      </c>
      <c r="E264" s="2" t="s">
        <v>39</v>
      </c>
      <c r="F264" s="2" t="s">
        <v>17</v>
      </c>
      <c r="G264" s="4" t="s">
        <v>697</v>
      </c>
      <c r="H264" s="6">
        <v>39.99</v>
      </c>
      <c r="I264" s="4" t="str">
        <f t="shared" si="4"/>
        <v>N/A</v>
      </c>
      <c r="J264" s="2" t="s">
        <v>54</v>
      </c>
      <c r="K264" s="2" t="s">
        <v>45</v>
      </c>
      <c r="L264" s="2" t="s">
        <v>40</v>
      </c>
      <c r="M264" s="11" t="s">
        <v>697</v>
      </c>
    </row>
    <row r="265" spans="1:13" x14ac:dyDescent="0.25">
      <c r="A265" s="10">
        <v>1263</v>
      </c>
      <c r="B265" s="3">
        <v>45397</v>
      </c>
      <c r="C265" s="2" t="s">
        <v>37</v>
      </c>
      <c r="D265" s="2" t="s">
        <v>38</v>
      </c>
      <c r="E265" s="2" t="s">
        <v>52</v>
      </c>
      <c r="F265" s="2" t="s">
        <v>53</v>
      </c>
      <c r="G265" s="2">
        <v>2</v>
      </c>
      <c r="H265" s="6">
        <v>59.99</v>
      </c>
      <c r="I265" s="4">
        <f t="shared" si="4"/>
        <v>119.98</v>
      </c>
      <c r="J265" s="2" t="s">
        <v>54</v>
      </c>
      <c r="K265" s="2" t="s">
        <v>45</v>
      </c>
      <c r="L265" s="2" t="s">
        <v>35</v>
      </c>
      <c r="M265" s="11" t="s">
        <v>697</v>
      </c>
    </row>
    <row r="266" spans="1:13" x14ac:dyDescent="0.25">
      <c r="A266" s="10">
        <v>1264</v>
      </c>
      <c r="B266" s="3">
        <v>45097</v>
      </c>
      <c r="C266" s="2" t="s">
        <v>70</v>
      </c>
      <c r="D266" s="2" t="s">
        <v>88</v>
      </c>
      <c r="E266" s="2" t="s">
        <v>44</v>
      </c>
      <c r="F266" s="2" t="s">
        <v>17</v>
      </c>
      <c r="G266" s="2">
        <v>4</v>
      </c>
      <c r="H266" s="6">
        <v>15.99</v>
      </c>
      <c r="I266" s="4">
        <f t="shared" si="4"/>
        <v>63.96</v>
      </c>
      <c r="J266" s="2" t="s">
        <v>33</v>
      </c>
      <c r="K266" s="2" t="s">
        <v>129</v>
      </c>
      <c r="L266" s="2" t="s">
        <v>40</v>
      </c>
      <c r="M266" s="11" t="s">
        <v>697</v>
      </c>
    </row>
    <row r="267" spans="1:13" x14ac:dyDescent="0.25">
      <c r="A267" s="10">
        <v>1265</v>
      </c>
      <c r="B267" s="5" t="s">
        <v>697</v>
      </c>
      <c r="C267" s="2" t="s">
        <v>77</v>
      </c>
      <c r="D267" s="2" t="s">
        <v>91</v>
      </c>
      <c r="E267" s="2" t="s">
        <v>92</v>
      </c>
      <c r="F267" s="2" t="s">
        <v>26</v>
      </c>
      <c r="G267" s="2">
        <v>4</v>
      </c>
      <c r="H267" s="6">
        <v>14.99</v>
      </c>
      <c r="I267" s="4">
        <f t="shared" si="4"/>
        <v>59.96</v>
      </c>
      <c r="J267" s="2" t="s">
        <v>33</v>
      </c>
      <c r="K267" s="2" t="s">
        <v>28</v>
      </c>
      <c r="L267" s="2" t="s">
        <v>35</v>
      </c>
      <c r="M267" s="11" t="s">
        <v>697</v>
      </c>
    </row>
    <row r="268" spans="1:13" x14ac:dyDescent="0.25">
      <c r="A268" s="10">
        <v>1266</v>
      </c>
      <c r="B268" s="5" t="s">
        <v>697</v>
      </c>
      <c r="C268" s="2" t="s">
        <v>23</v>
      </c>
      <c r="D268" s="2" t="s">
        <v>124</v>
      </c>
      <c r="E268" s="2" t="s">
        <v>92</v>
      </c>
      <c r="F268" s="2" t="s">
        <v>26</v>
      </c>
      <c r="G268" s="4" t="s">
        <v>697</v>
      </c>
      <c r="H268" s="6">
        <v>14.99</v>
      </c>
      <c r="I268" s="4" t="str">
        <f t="shared" si="4"/>
        <v>N/A</v>
      </c>
      <c r="J268" s="2" t="s">
        <v>33</v>
      </c>
      <c r="K268" s="2" t="s">
        <v>45</v>
      </c>
      <c r="L268" s="2" t="s">
        <v>35</v>
      </c>
      <c r="M268" s="11" t="s">
        <v>697</v>
      </c>
    </row>
    <row r="269" spans="1:13" x14ac:dyDescent="0.25">
      <c r="A269" s="10">
        <v>1267</v>
      </c>
      <c r="B269" s="3">
        <v>45119</v>
      </c>
      <c r="C269" s="2" t="s">
        <v>37</v>
      </c>
      <c r="D269" s="2" t="s">
        <v>38</v>
      </c>
      <c r="E269" s="2" t="s">
        <v>127</v>
      </c>
      <c r="F269" s="2" t="s">
        <v>73</v>
      </c>
      <c r="G269" s="2">
        <v>1</v>
      </c>
      <c r="H269" s="6">
        <v>29.99</v>
      </c>
      <c r="I269" s="4">
        <f t="shared" si="4"/>
        <v>29.99</v>
      </c>
      <c r="J269" s="2" t="s">
        <v>54</v>
      </c>
      <c r="K269" s="2" t="s">
        <v>129</v>
      </c>
      <c r="L269" s="2" t="s">
        <v>35</v>
      </c>
      <c r="M269" s="11" t="s">
        <v>697</v>
      </c>
    </row>
    <row r="270" spans="1:13" x14ac:dyDescent="0.25">
      <c r="A270" s="10">
        <v>1268</v>
      </c>
      <c r="B270" s="3">
        <v>45368</v>
      </c>
      <c r="C270" s="2" t="s">
        <v>697</v>
      </c>
      <c r="D270" s="2" t="s">
        <v>114</v>
      </c>
      <c r="E270" s="2" t="s">
        <v>127</v>
      </c>
      <c r="F270" s="2" t="s">
        <v>73</v>
      </c>
      <c r="G270" s="2">
        <v>3</v>
      </c>
      <c r="H270" s="6">
        <v>29.99</v>
      </c>
      <c r="I270" s="4">
        <f t="shared" si="4"/>
        <v>89.97</v>
      </c>
      <c r="J270" s="2" t="s">
        <v>19</v>
      </c>
      <c r="K270" s="2" t="s">
        <v>45</v>
      </c>
      <c r="L270" s="2" t="s">
        <v>35</v>
      </c>
      <c r="M270" s="11" t="s">
        <v>697</v>
      </c>
    </row>
    <row r="271" spans="1:13" x14ac:dyDescent="0.25">
      <c r="A271" s="10">
        <v>1269</v>
      </c>
      <c r="B271" s="5" t="s">
        <v>697</v>
      </c>
      <c r="C271" s="2" t="s">
        <v>70</v>
      </c>
      <c r="D271" s="2" t="s">
        <v>71</v>
      </c>
      <c r="E271" s="2" t="s">
        <v>127</v>
      </c>
      <c r="F271" s="2" t="s">
        <v>73</v>
      </c>
      <c r="G271" s="2">
        <v>2</v>
      </c>
      <c r="H271" s="6">
        <v>29.99</v>
      </c>
      <c r="I271" s="4">
        <f t="shared" si="4"/>
        <v>59.98</v>
      </c>
      <c r="J271" s="2" t="s">
        <v>27</v>
      </c>
      <c r="K271" s="2" t="s">
        <v>45</v>
      </c>
      <c r="L271" s="2" t="s">
        <v>40</v>
      </c>
      <c r="M271" s="11" t="s">
        <v>697</v>
      </c>
    </row>
    <row r="272" spans="1:13" x14ac:dyDescent="0.25">
      <c r="A272" s="10">
        <v>1270</v>
      </c>
      <c r="B272" s="3">
        <v>45165</v>
      </c>
      <c r="C272" s="2" t="s">
        <v>77</v>
      </c>
      <c r="D272" s="2" t="s">
        <v>91</v>
      </c>
      <c r="E272" s="2" t="s">
        <v>52</v>
      </c>
      <c r="F272" s="2" t="s">
        <v>53</v>
      </c>
      <c r="G272" s="2">
        <v>5</v>
      </c>
      <c r="H272" s="6">
        <v>59.99</v>
      </c>
      <c r="I272" s="4">
        <f t="shared" si="4"/>
        <v>299.95</v>
      </c>
      <c r="J272" s="2" t="s">
        <v>54</v>
      </c>
      <c r="K272" s="2" t="s">
        <v>28</v>
      </c>
      <c r="L272" s="2" t="s">
        <v>35</v>
      </c>
      <c r="M272" s="11" t="s">
        <v>697</v>
      </c>
    </row>
    <row r="273" spans="1:13" x14ac:dyDescent="0.25">
      <c r="A273" s="10">
        <v>1271</v>
      </c>
      <c r="B273" s="3">
        <v>44972</v>
      </c>
      <c r="C273" s="2" t="s">
        <v>77</v>
      </c>
      <c r="D273" s="2" t="s">
        <v>114</v>
      </c>
      <c r="E273" s="2" t="s">
        <v>92</v>
      </c>
      <c r="F273" s="2" t="s">
        <v>26</v>
      </c>
      <c r="G273" s="4" t="s">
        <v>697</v>
      </c>
      <c r="H273" s="6">
        <v>14.99</v>
      </c>
      <c r="I273" s="4" t="str">
        <f t="shared" si="4"/>
        <v>N/A</v>
      </c>
      <c r="J273" s="2" t="s">
        <v>33</v>
      </c>
      <c r="K273" s="2" t="s">
        <v>129</v>
      </c>
      <c r="L273" s="2" t="s">
        <v>35</v>
      </c>
      <c r="M273" s="11" t="s">
        <v>697</v>
      </c>
    </row>
    <row r="274" spans="1:13" x14ac:dyDescent="0.25">
      <c r="A274" s="10">
        <v>1272</v>
      </c>
      <c r="B274" s="3">
        <v>45152</v>
      </c>
      <c r="C274" s="2" t="s">
        <v>42</v>
      </c>
      <c r="D274" s="2" t="s">
        <v>48</v>
      </c>
      <c r="E274" s="2" t="s">
        <v>82</v>
      </c>
      <c r="F274" s="2" t="s">
        <v>60</v>
      </c>
      <c r="G274" s="4" t="s">
        <v>697</v>
      </c>
      <c r="H274" s="6">
        <v>4.99</v>
      </c>
      <c r="I274" s="4" t="str">
        <f t="shared" si="4"/>
        <v>N/A</v>
      </c>
      <c r="J274" s="2" t="s">
        <v>27</v>
      </c>
      <c r="K274" s="2" t="s">
        <v>45</v>
      </c>
      <c r="L274" s="2" t="s">
        <v>29</v>
      </c>
      <c r="M274" s="11" t="s">
        <v>697</v>
      </c>
    </row>
    <row r="275" spans="1:13" x14ac:dyDescent="0.25">
      <c r="A275" s="10">
        <v>1273</v>
      </c>
      <c r="B275" s="3">
        <v>45087</v>
      </c>
      <c r="C275" s="2" t="s">
        <v>23</v>
      </c>
      <c r="D275" s="2" t="s">
        <v>24</v>
      </c>
      <c r="E275" s="2" t="s">
        <v>72</v>
      </c>
      <c r="F275" s="2" t="s">
        <v>73</v>
      </c>
      <c r="G275" s="2">
        <v>4</v>
      </c>
      <c r="H275" s="6">
        <v>49.99</v>
      </c>
      <c r="I275" s="4">
        <f t="shared" si="4"/>
        <v>199.96</v>
      </c>
      <c r="J275" s="2" t="s">
        <v>33</v>
      </c>
      <c r="K275" s="2" t="s">
        <v>34</v>
      </c>
      <c r="L275" s="2" t="s">
        <v>40</v>
      </c>
      <c r="M275" s="11" t="s">
        <v>697</v>
      </c>
    </row>
    <row r="276" spans="1:13" x14ac:dyDescent="0.25">
      <c r="A276" s="10">
        <v>1274</v>
      </c>
      <c r="B276" s="5" t="s">
        <v>697</v>
      </c>
      <c r="C276" s="2" t="s">
        <v>65</v>
      </c>
      <c r="D276" s="2" t="s">
        <v>126</v>
      </c>
      <c r="E276" s="2" t="s">
        <v>127</v>
      </c>
      <c r="F276" s="2" t="s">
        <v>73</v>
      </c>
      <c r="G276" s="4" t="s">
        <v>697</v>
      </c>
      <c r="H276" s="6">
        <v>29.99</v>
      </c>
      <c r="I276" s="4" t="str">
        <f t="shared" si="4"/>
        <v>N/A</v>
      </c>
      <c r="J276" s="2" t="s">
        <v>27</v>
      </c>
      <c r="K276" s="2" t="s">
        <v>28</v>
      </c>
      <c r="L276" s="2" t="s">
        <v>40</v>
      </c>
      <c r="M276" s="11" t="s">
        <v>697</v>
      </c>
    </row>
    <row r="277" spans="1:13" x14ac:dyDescent="0.25">
      <c r="A277" s="10">
        <v>1275</v>
      </c>
      <c r="B277" s="3">
        <v>45242</v>
      </c>
      <c r="C277" s="2" t="s">
        <v>14</v>
      </c>
      <c r="D277" s="2" t="s">
        <v>15</v>
      </c>
      <c r="E277" s="2" t="s">
        <v>92</v>
      </c>
      <c r="F277" s="2" t="s">
        <v>26</v>
      </c>
      <c r="G277" s="2">
        <v>4</v>
      </c>
      <c r="H277" s="6">
        <v>14.99</v>
      </c>
      <c r="I277" s="4">
        <f t="shared" si="4"/>
        <v>59.96</v>
      </c>
      <c r="J277" s="2" t="s">
        <v>19</v>
      </c>
      <c r="K277" s="2" t="s">
        <v>28</v>
      </c>
      <c r="L277" s="2" t="s">
        <v>35</v>
      </c>
      <c r="M277" s="11" t="s">
        <v>697</v>
      </c>
    </row>
    <row r="278" spans="1:13" x14ac:dyDescent="0.25">
      <c r="A278" s="10">
        <v>1276</v>
      </c>
      <c r="B278" s="5" t="s">
        <v>697</v>
      </c>
      <c r="C278" s="2" t="s">
        <v>37</v>
      </c>
      <c r="D278" s="2" t="s">
        <v>38</v>
      </c>
      <c r="E278" s="2" t="s">
        <v>127</v>
      </c>
      <c r="F278" s="2" t="s">
        <v>73</v>
      </c>
      <c r="G278" s="2">
        <v>2</v>
      </c>
      <c r="H278" s="6">
        <v>29.99</v>
      </c>
      <c r="I278" s="4">
        <f t="shared" si="4"/>
        <v>59.98</v>
      </c>
      <c r="J278" s="2" t="s">
        <v>19</v>
      </c>
      <c r="K278" s="2" t="s">
        <v>28</v>
      </c>
      <c r="L278" s="2" t="s">
        <v>40</v>
      </c>
      <c r="M278" s="11" t="s">
        <v>697</v>
      </c>
    </row>
    <row r="279" spans="1:13" x14ac:dyDescent="0.25">
      <c r="A279" s="10">
        <v>1277</v>
      </c>
      <c r="B279" s="3">
        <v>45239</v>
      </c>
      <c r="C279" s="2" t="s">
        <v>23</v>
      </c>
      <c r="D279" s="2" t="s">
        <v>81</v>
      </c>
      <c r="E279" s="2" t="s">
        <v>85</v>
      </c>
      <c r="F279" s="2" t="s">
        <v>26</v>
      </c>
      <c r="G279" s="2">
        <v>1</v>
      </c>
      <c r="H279" s="6">
        <v>99.99</v>
      </c>
      <c r="I279" s="4">
        <f t="shared" si="4"/>
        <v>99.99</v>
      </c>
      <c r="J279" s="2" t="s">
        <v>33</v>
      </c>
      <c r="K279" s="2" t="s">
        <v>34</v>
      </c>
      <c r="L279" s="2" t="s">
        <v>29</v>
      </c>
      <c r="M279" s="11" t="s">
        <v>697</v>
      </c>
    </row>
    <row r="280" spans="1:13" x14ac:dyDescent="0.25">
      <c r="A280" s="10">
        <v>1278</v>
      </c>
      <c r="B280" s="5" t="s">
        <v>697</v>
      </c>
      <c r="C280" s="2" t="s">
        <v>65</v>
      </c>
      <c r="D280" s="2" t="s">
        <v>123</v>
      </c>
      <c r="E280" s="2" t="s">
        <v>31</v>
      </c>
      <c r="F280" s="2" t="s">
        <v>32</v>
      </c>
      <c r="G280" s="2">
        <v>2</v>
      </c>
      <c r="H280" s="6">
        <v>79.989999999999995</v>
      </c>
      <c r="I280" s="4">
        <f t="shared" si="4"/>
        <v>159.97999999999999</v>
      </c>
      <c r="J280" s="2" t="s">
        <v>19</v>
      </c>
      <c r="K280" s="2" t="s">
        <v>34</v>
      </c>
      <c r="L280" s="2" t="s">
        <v>35</v>
      </c>
      <c r="M280" s="11" t="s">
        <v>697</v>
      </c>
    </row>
    <row r="281" spans="1:13" x14ac:dyDescent="0.25">
      <c r="A281" s="10">
        <v>1279</v>
      </c>
      <c r="B281" s="3">
        <v>45237</v>
      </c>
      <c r="C281" s="2" t="s">
        <v>70</v>
      </c>
      <c r="D281" s="4" t="s">
        <v>697</v>
      </c>
      <c r="E281" s="2" t="s">
        <v>85</v>
      </c>
      <c r="F281" s="2" t="s">
        <v>26</v>
      </c>
      <c r="G281" s="2">
        <v>4</v>
      </c>
      <c r="H281" s="6">
        <v>99.99</v>
      </c>
      <c r="I281" s="4">
        <f t="shared" si="4"/>
        <v>399.96</v>
      </c>
      <c r="J281" s="2" t="s">
        <v>19</v>
      </c>
      <c r="K281" s="2" t="s">
        <v>55</v>
      </c>
      <c r="L281" s="2" t="s">
        <v>35</v>
      </c>
      <c r="M281" s="11" t="s">
        <v>697</v>
      </c>
    </row>
    <row r="282" spans="1:13" x14ac:dyDescent="0.25">
      <c r="A282" s="10">
        <v>1280</v>
      </c>
      <c r="B282" s="5" t="s">
        <v>697</v>
      </c>
      <c r="C282" s="2" t="s">
        <v>65</v>
      </c>
      <c r="D282" s="2" t="s">
        <v>126</v>
      </c>
      <c r="E282" s="2" t="s">
        <v>44</v>
      </c>
      <c r="F282" s="2" t="s">
        <v>17</v>
      </c>
      <c r="G282" s="2">
        <v>3</v>
      </c>
      <c r="H282" s="6">
        <v>15.99</v>
      </c>
      <c r="I282" s="4">
        <f t="shared" si="4"/>
        <v>47.97</v>
      </c>
      <c r="J282" s="2" t="s">
        <v>33</v>
      </c>
      <c r="K282" s="2" t="s">
        <v>28</v>
      </c>
      <c r="L282" s="2" t="s">
        <v>35</v>
      </c>
      <c r="M282" s="11" t="s">
        <v>697</v>
      </c>
    </row>
    <row r="283" spans="1:13" x14ac:dyDescent="0.25">
      <c r="A283" s="10">
        <v>1281</v>
      </c>
      <c r="B283" s="5" t="s">
        <v>697</v>
      </c>
      <c r="C283" s="2" t="s">
        <v>42</v>
      </c>
      <c r="D283" s="2" t="s">
        <v>116</v>
      </c>
      <c r="E283" s="2" t="s">
        <v>52</v>
      </c>
      <c r="F283" s="2" t="s">
        <v>53</v>
      </c>
      <c r="G283" s="2">
        <v>1</v>
      </c>
      <c r="H283" s="6">
        <v>59.99</v>
      </c>
      <c r="I283" s="4">
        <f t="shared" si="4"/>
        <v>59.99</v>
      </c>
      <c r="J283" s="2" t="s">
        <v>33</v>
      </c>
      <c r="K283" s="2" t="s">
        <v>45</v>
      </c>
      <c r="L283" s="2" t="s">
        <v>40</v>
      </c>
      <c r="M283" s="11" t="s">
        <v>697</v>
      </c>
    </row>
    <row r="284" spans="1:13" x14ac:dyDescent="0.25">
      <c r="A284" s="10">
        <v>1282</v>
      </c>
      <c r="B284" s="3">
        <v>45077</v>
      </c>
      <c r="C284" s="2" t="s">
        <v>37</v>
      </c>
      <c r="D284" s="2" t="s">
        <v>169</v>
      </c>
      <c r="E284" s="2" t="s">
        <v>85</v>
      </c>
      <c r="F284" s="2" t="s">
        <v>26</v>
      </c>
      <c r="G284" s="2">
        <v>4</v>
      </c>
      <c r="H284" s="6">
        <v>99.99</v>
      </c>
      <c r="I284" s="4">
        <f t="shared" si="4"/>
        <v>399.96</v>
      </c>
      <c r="J284" s="2" t="s">
        <v>33</v>
      </c>
      <c r="K284" s="2" t="s">
        <v>45</v>
      </c>
      <c r="L284" s="2" t="s">
        <v>35</v>
      </c>
      <c r="M284" s="11" t="s">
        <v>697</v>
      </c>
    </row>
    <row r="285" spans="1:13" x14ac:dyDescent="0.25">
      <c r="A285" s="10">
        <v>1283</v>
      </c>
      <c r="B285" s="5" t="s">
        <v>697</v>
      </c>
      <c r="C285" s="2" t="s">
        <v>14</v>
      </c>
      <c r="D285" s="2" t="s">
        <v>75</v>
      </c>
      <c r="E285" s="2" t="s">
        <v>127</v>
      </c>
      <c r="F285" s="2" t="s">
        <v>73</v>
      </c>
      <c r="G285" s="2">
        <v>1</v>
      </c>
      <c r="H285" s="6">
        <v>29.99</v>
      </c>
      <c r="I285" s="4">
        <f t="shared" si="4"/>
        <v>29.99</v>
      </c>
      <c r="J285" s="2" t="s">
        <v>19</v>
      </c>
      <c r="K285" s="2" t="s">
        <v>55</v>
      </c>
      <c r="L285" s="2" t="s">
        <v>29</v>
      </c>
      <c r="M285" s="11" t="s">
        <v>697</v>
      </c>
    </row>
    <row r="286" spans="1:13" x14ac:dyDescent="0.25">
      <c r="A286" s="10">
        <v>1284</v>
      </c>
      <c r="B286" s="5" t="s">
        <v>697</v>
      </c>
      <c r="C286" s="2" t="s">
        <v>70</v>
      </c>
      <c r="D286" s="2" t="s">
        <v>131</v>
      </c>
      <c r="E286" s="2" t="s">
        <v>39</v>
      </c>
      <c r="F286" s="2" t="s">
        <v>17</v>
      </c>
      <c r="G286" s="2">
        <v>2</v>
      </c>
      <c r="H286" s="6">
        <v>39.99</v>
      </c>
      <c r="I286" s="4">
        <f t="shared" si="4"/>
        <v>79.98</v>
      </c>
      <c r="J286" s="2" t="s">
        <v>54</v>
      </c>
      <c r="K286" s="2" t="s">
        <v>28</v>
      </c>
      <c r="L286" s="2" t="s">
        <v>40</v>
      </c>
      <c r="M286" s="11" t="s">
        <v>697</v>
      </c>
    </row>
    <row r="287" spans="1:13" x14ac:dyDescent="0.25">
      <c r="A287" s="10">
        <v>1285</v>
      </c>
      <c r="B287" s="3">
        <v>45111</v>
      </c>
      <c r="C287" s="2" t="s">
        <v>65</v>
      </c>
      <c r="D287" s="2" t="s">
        <v>123</v>
      </c>
      <c r="E287" s="2" t="s">
        <v>31</v>
      </c>
      <c r="F287" s="2" t="s">
        <v>32</v>
      </c>
      <c r="G287" s="2">
        <v>1</v>
      </c>
      <c r="H287" s="6">
        <v>79.989999999999995</v>
      </c>
      <c r="I287" s="4">
        <f t="shared" si="4"/>
        <v>79.989999999999995</v>
      </c>
      <c r="J287" s="2" t="s">
        <v>19</v>
      </c>
      <c r="K287" s="2" t="s">
        <v>28</v>
      </c>
      <c r="L287" s="2" t="s">
        <v>35</v>
      </c>
      <c r="M287" s="11" t="s">
        <v>697</v>
      </c>
    </row>
    <row r="288" spans="1:13" x14ac:dyDescent="0.25">
      <c r="A288" s="10">
        <v>1286</v>
      </c>
      <c r="B288" s="3">
        <v>45207</v>
      </c>
      <c r="C288" s="2" t="s">
        <v>23</v>
      </c>
      <c r="D288" s="2" t="s">
        <v>24</v>
      </c>
      <c r="E288" s="2" t="s">
        <v>44</v>
      </c>
      <c r="F288" s="2" t="s">
        <v>17</v>
      </c>
      <c r="G288" s="4" t="s">
        <v>697</v>
      </c>
      <c r="H288" s="6">
        <v>15.99</v>
      </c>
      <c r="I288" s="4" t="str">
        <f t="shared" si="4"/>
        <v>N/A</v>
      </c>
      <c r="J288" s="2" t="s">
        <v>27</v>
      </c>
      <c r="K288" s="2" t="s">
        <v>28</v>
      </c>
      <c r="L288" s="2" t="s">
        <v>35</v>
      </c>
      <c r="M288" s="11" t="s">
        <v>697</v>
      </c>
    </row>
    <row r="289" spans="1:13" x14ac:dyDescent="0.25">
      <c r="A289" s="10">
        <v>1287</v>
      </c>
      <c r="B289" s="3">
        <v>45079</v>
      </c>
      <c r="C289" s="2" t="s">
        <v>42</v>
      </c>
      <c r="D289" s="2" t="s">
        <v>116</v>
      </c>
      <c r="E289" s="2" t="s">
        <v>85</v>
      </c>
      <c r="F289" s="2" t="s">
        <v>26</v>
      </c>
      <c r="G289" s="4" t="s">
        <v>697</v>
      </c>
      <c r="H289" s="6">
        <v>99.99</v>
      </c>
      <c r="I289" s="4" t="str">
        <f t="shared" si="4"/>
        <v>N/A</v>
      </c>
      <c r="J289" s="2" t="s">
        <v>33</v>
      </c>
      <c r="K289" s="2" t="s">
        <v>45</v>
      </c>
      <c r="L289" s="2" t="s">
        <v>40</v>
      </c>
      <c r="M289" s="11" t="s">
        <v>697</v>
      </c>
    </row>
    <row r="290" spans="1:13" x14ac:dyDescent="0.25">
      <c r="A290" s="10">
        <v>1288</v>
      </c>
      <c r="B290" s="3">
        <v>44960</v>
      </c>
      <c r="C290" s="2" t="s">
        <v>77</v>
      </c>
      <c r="D290" s="2" t="s">
        <v>78</v>
      </c>
      <c r="E290" s="2" t="s">
        <v>92</v>
      </c>
      <c r="F290" s="2" t="s">
        <v>26</v>
      </c>
      <c r="G290" s="2">
        <v>2</v>
      </c>
      <c r="H290" s="6">
        <v>14.99</v>
      </c>
      <c r="I290" s="4">
        <f t="shared" si="4"/>
        <v>29.98</v>
      </c>
      <c r="J290" s="2" t="s">
        <v>27</v>
      </c>
      <c r="K290" s="2" t="s">
        <v>28</v>
      </c>
      <c r="L290" s="2" t="s">
        <v>40</v>
      </c>
      <c r="M290" s="11" t="s">
        <v>697</v>
      </c>
    </row>
    <row r="291" spans="1:13" x14ac:dyDescent="0.25">
      <c r="A291" s="10">
        <v>1289</v>
      </c>
      <c r="B291" s="3">
        <v>45033</v>
      </c>
      <c r="C291" s="2" t="s">
        <v>42</v>
      </c>
      <c r="D291" s="2" t="s">
        <v>48</v>
      </c>
      <c r="E291" s="2" t="s">
        <v>44</v>
      </c>
      <c r="F291" s="2" t="s">
        <v>17</v>
      </c>
      <c r="G291" s="4" t="s">
        <v>697</v>
      </c>
      <c r="H291" s="6">
        <v>15.99</v>
      </c>
      <c r="I291" s="4" t="str">
        <f t="shared" si="4"/>
        <v>N/A</v>
      </c>
      <c r="J291" s="2" t="s">
        <v>19</v>
      </c>
      <c r="K291" s="2" t="s">
        <v>34</v>
      </c>
      <c r="L291" s="2" t="s">
        <v>40</v>
      </c>
      <c r="M291" s="11" t="s">
        <v>697</v>
      </c>
    </row>
    <row r="292" spans="1:13" x14ac:dyDescent="0.25">
      <c r="A292" s="10">
        <v>1290</v>
      </c>
      <c r="B292" s="3">
        <v>45248</v>
      </c>
      <c r="C292" s="2" t="s">
        <v>77</v>
      </c>
      <c r="D292" s="2" t="s">
        <v>114</v>
      </c>
      <c r="E292" s="2" t="s">
        <v>44</v>
      </c>
      <c r="F292" s="2" t="s">
        <v>17</v>
      </c>
      <c r="G292" s="2">
        <v>2</v>
      </c>
      <c r="H292" s="6">
        <v>15.99</v>
      </c>
      <c r="I292" s="4">
        <f t="shared" si="4"/>
        <v>31.98</v>
      </c>
      <c r="J292" s="2" t="s">
        <v>54</v>
      </c>
      <c r="K292" s="2" t="s">
        <v>129</v>
      </c>
      <c r="L292" s="2" t="s">
        <v>35</v>
      </c>
      <c r="M292" s="11" t="s">
        <v>697</v>
      </c>
    </row>
    <row r="293" spans="1:13" x14ac:dyDescent="0.25">
      <c r="A293" s="10">
        <v>1291</v>
      </c>
      <c r="B293" s="3">
        <v>45320</v>
      </c>
      <c r="C293" s="2" t="s">
        <v>65</v>
      </c>
      <c r="D293" s="2" t="s">
        <v>66</v>
      </c>
      <c r="E293" s="2" t="s">
        <v>92</v>
      </c>
      <c r="F293" s="2" t="s">
        <v>26</v>
      </c>
      <c r="G293" s="2">
        <v>4</v>
      </c>
      <c r="H293" s="6">
        <v>14.99</v>
      </c>
      <c r="I293" s="4">
        <f t="shared" si="4"/>
        <v>59.96</v>
      </c>
      <c r="J293" s="2" t="s">
        <v>54</v>
      </c>
      <c r="K293" s="2" t="s">
        <v>34</v>
      </c>
      <c r="L293" s="2" t="s">
        <v>35</v>
      </c>
      <c r="M293" s="11" t="s">
        <v>697</v>
      </c>
    </row>
    <row r="294" spans="1:13" x14ac:dyDescent="0.25">
      <c r="A294" s="10">
        <v>1292</v>
      </c>
      <c r="B294" s="3">
        <v>45393</v>
      </c>
      <c r="C294" s="2" t="s">
        <v>42</v>
      </c>
      <c r="D294" s="2" t="s">
        <v>43</v>
      </c>
      <c r="E294" s="2" t="s">
        <v>127</v>
      </c>
      <c r="F294" s="2" t="s">
        <v>73</v>
      </c>
      <c r="G294" s="2">
        <v>1</v>
      </c>
      <c r="H294" s="6">
        <v>29.99</v>
      </c>
      <c r="I294" s="4">
        <f t="shared" si="4"/>
        <v>29.99</v>
      </c>
      <c r="J294" s="2" t="s">
        <v>54</v>
      </c>
      <c r="K294" s="2" t="s">
        <v>45</v>
      </c>
      <c r="L294" s="2" t="s">
        <v>29</v>
      </c>
      <c r="M294" s="11" t="s">
        <v>697</v>
      </c>
    </row>
    <row r="295" spans="1:13" x14ac:dyDescent="0.25">
      <c r="A295" s="10">
        <v>1293</v>
      </c>
      <c r="B295" s="3">
        <v>45211</v>
      </c>
      <c r="C295" s="2" t="s">
        <v>23</v>
      </c>
      <c r="D295" s="2" t="s">
        <v>124</v>
      </c>
      <c r="E295" s="2" t="s">
        <v>31</v>
      </c>
      <c r="F295" s="2" t="s">
        <v>32</v>
      </c>
      <c r="G295" s="4" t="s">
        <v>697</v>
      </c>
      <c r="H295" s="6">
        <v>79.989999999999995</v>
      </c>
      <c r="I295" s="4" t="str">
        <f t="shared" si="4"/>
        <v>N/A</v>
      </c>
      <c r="J295" s="2" t="s">
        <v>27</v>
      </c>
      <c r="K295" s="2" t="s">
        <v>45</v>
      </c>
      <c r="L295" s="2" t="s">
        <v>35</v>
      </c>
      <c r="M295" s="12" t="s">
        <v>63</v>
      </c>
    </row>
    <row r="296" spans="1:13" x14ac:dyDescent="0.25">
      <c r="A296" s="10">
        <v>1294</v>
      </c>
      <c r="B296" s="3">
        <v>44936</v>
      </c>
      <c r="C296" s="2" t="s">
        <v>23</v>
      </c>
      <c r="D296" s="2" t="s">
        <v>124</v>
      </c>
      <c r="E296" s="2" t="s">
        <v>39</v>
      </c>
      <c r="F296" s="2" t="s">
        <v>17</v>
      </c>
      <c r="G296" s="2">
        <v>4</v>
      </c>
      <c r="H296" s="6">
        <v>39.99</v>
      </c>
      <c r="I296" s="4">
        <f t="shared" si="4"/>
        <v>159.96</v>
      </c>
      <c r="J296" s="2" t="s">
        <v>27</v>
      </c>
      <c r="K296" s="2" t="s">
        <v>28</v>
      </c>
      <c r="L296" s="2" t="s">
        <v>35</v>
      </c>
      <c r="M296" s="11" t="s">
        <v>697</v>
      </c>
    </row>
    <row r="297" spans="1:13" x14ac:dyDescent="0.25">
      <c r="A297" s="10">
        <v>1295</v>
      </c>
      <c r="B297" s="3">
        <v>45230</v>
      </c>
      <c r="C297" s="2" t="s">
        <v>37</v>
      </c>
      <c r="D297" s="2" t="s">
        <v>38</v>
      </c>
      <c r="E297" s="2" t="s">
        <v>44</v>
      </c>
      <c r="F297" s="2" t="s">
        <v>17</v>
      </c>
      <c r="G297" s="4" t="s">
        <v>697</v>
      </c>
      <c r="H297" s="6">
        <v>15.99</v>
      </c>
      <c r="I297" s="4" t="str">
        <f t="shared" si="4"/>
        <v>N/A</v>
      </c>
      <c r="J297" s="2" t="s">
        <v>33</v>
      </c>
      <c r="K297" s="2" t="s">
        <v>129</v>
      </c>
      <c r="L297" s="2" t="s">
        <v>35</v>
      </c>
      <c r="M297" s="12" t="s">
        <v>63</v>
      </c>
    </row>
    <row r="298" spans="1:13" x14ac:dyDescent="0.25">
      <c r="A298" s="10">
        <v>1296</v>
      </c>
      <c r="B298" s="3">
        <v>44928</v>
      </c>
      <c r="C298" s="2" t="s">
        <v>23</v>
      </c>
      <c r="D298" s="2" t="s">
        <v>24</v>
      </c>
      <c r="E298" s="2" t="s">
        <v>72</v>
      </c>
      <c r="F298" s="2" t="s">
        <v>73</v>
      </c>
      <c r="G298" s="2">
        <v>1</v>
      </c>
      <c r="H298" s="6">
        <v>49.99</v>
      </c>
      <c r="I298" s="4">
        <f t="shared" si="4"/>
        <v>49.99</v>
      </c>
      <c r="J298" s="2" t="s">
        <v>33</v>
      </c>
      <c r="K298" s="2" t="s">
        <v>45</v>
      </c>
      <c r="L298" s="2" t="s">
        <v>35</v>
      </c>
      <c r="M298" s="11" t="s">
        <v>697</v>
      </c>
    </row>
    <row r="299" spans="1:13" x14ac:dyDescent="0.25">
      <c r="A299" s="10">
        <v>1297</v>
      </c>
      <c r="B299" s="5" t="s">
        <v>697</v>
      </c>
      <c r="C299" s="2" t="s">
        <v>70</v>
      </c>
      <c r="D299" s="2" t="s">
        <v>131</v>
      </c>
      <c r="E299" s="2" t="s">
        <v>31</v>
      </c>
      <c r="F299" s="2" t="s">
        <v>32</v>
      </c>
      <c r="G299" s="2">
        <v>4</v>
      </c>
      <c r="H299" s="6">
        <v>79.989999999999995</v>
      </c>
      <c r="I299" s="4">
        <f t="shared" si="4"/>
        <v>319.95999999999998</v>
      </c>
      <c r="J299" s="2" t="s">
        <v>19</v>
      </c>
      <c r="K299" s="2" t="s">
        <v>45</v>
      </c>
      <c r="L299" s="2" t="s">
        <v>35</v>
      </c>
      <c r="M299" s="11" t="s">
        <v>697</v>
      </c>
    </row>
    <row r="300" spans="1:13" x14ac:dyDescent="0.25">
      <c r="A300" s="10">
        <v>1298</v>
      </c>
      <c r="B300" s="3">
        <v>45001</v>
      </c>
      <c r="C300" s="2" t="s">
        <v>77</v>
      </c>
      <c r="D300" s="2" t="s">
        <v>91</v>
      </c>
      <c r="E300" s="2" t="s">
        <v>127</v>
      </c>
      <c r="F300" s="2" t="s">
        <v>73</v>
      </c>
      <c r="G300" s="2">
        <v>2</v>
      </c>
      <c r="H300" s="6">
        <v>29.99</v>
      </c>
      <c r="I300" s="4">
        <f t="shared" si="4"/>
        <v>59.98</v>
      </c>
      <c r="J300" s="2" t="s">
        <v>27</v>
      </c>
      <c r="K300" s="2" t="s">
        <v>55</v>
      </c>
      <c r="L300" s="2" t="s">
        <v>35</v>
      </c>
      <c r="M300" s="11" t="s">
        <v>697</v>
      </c>
    </row>
    <row r="301" spans="1:13" x14ac:dyDescent="0.25">
      <c r="A301" s="10">
        <v>1299</v>
      </c>
      <c r="B301" s="5" t="s">
        <v>697</v>
      </c>
      <c r="C301" s="2" t="s">
        <v>77</v>
      </c>
      <c r="D301" s="2" t="s">
        <v>114</v>
      </c>
      <c r="E301" s="2" t="s">
        <v>52</v>
      </c>
      <c r="F301" s="2" t="s">
        <v>53</v>
      </c>
      <c r="G301" s="2">
        <v>5</v>
      </c>
      <c r="H301" s="6">
        <v>59.99</v>
      </c>
      <c r="I301" s="4">
        <f t="shared" si="4"/>
        <v>299.95</v>
      </c>
      <c r="J301" s="2" t="s">
        <v>33</v>
      </c>
      <c r="K301" s="2" t="s">
        <v>45</v>
      </c>
      <c r="L301" s="2" t="s">
        <v>40</v>
      </c>
      <c r="M301" s="11" t="s">
        <v>697</v>
      </c>
    </row>
    <row r="302" spans="1:13" x14ac:dyDescent="0.25">
      <c r="A302" s="10">
        <v>1300</v>
      </c>
      <c r="B302" s="3">
        <v>45363</v>
      </c>
      <c r="C302" s="2" t="s">
        <v>65</v>
      </c>
      <c r="D302" s="4" t="s">
        <v>697</v>
      </c>
      <c r="E302" s="2" t="s">
        <v>85</v>
      </c>
      <c r="F302" s="2" t="s">
        <v>26</v>
      </c>
      <c r="G302" s="4" t="s">
        <v>697</v>
      </c>
      <c r="H302" s="6">
        <v>99.99</v>
      </c>
      <c r="I302" s="4" t="str">
        <f t="shared" si="4"/>
        <v>N/A</v>
      </c>
      <c r="J302" s="2" t="s">
        <v>54</v>
      </c>
      <c r="K302" s="2" t="s">
        <v>34</v>
      </c>
      <c r="L302" s="2" t="s">
        <v>40</v>
      </c>
      <c r="M302" s="11" t="s">
        <v>697</v>
      </c>
    </row>
    <row r="303" spans="1:13" x14ac:dyDescent="0.25">
      <c r="A303" s="10">
        <v>1301</v>
      </c>
      <c r="B303" s="5" t="s">
        <v>697</v>
      </c>
      <c r="C303" s="2" t="s">
        <v>37</v>
      </c>
      <c r="D303" s="2" t="s">
        <v>169</v>
      </c>
      <c r="E303" s="2" t="s">
        <v>31</v>
      </c>
      <c r="F303" s="2" t="s">
        <v>32</v>
      </c>
      <c r="G303" s="2">
        <v>3</v>
      </c>
      <c r="H303" s="6">
        <v>79.989999999999995</v>
      </c>
      <c r="I303" s="4">
        <f t="shared" si="4"/>
        <v>239.96999999999997</v>
      </c>
      <c r="J303" s="2" t="s">
        <v>19</v>
      </c>
      <c r="K303" s="2" t="s">
        <v>34</v>
      </c>
      <c r="L303" s="2" t="s">
        <v>35</v>
      </c>
      <c r="M303" s="11" t="s">
        <v>697</v>
      </c>
    </row>
    <row r="304" spans="1:13" x14ac:dyDescent="0.25">
      <c r="A304" s="10">
        <v>1302</v>
      </c>
      <c r="B304" s="5" t="s">
        <v>697</v>
      </c>
      <c r="C304" s="2" t="s">
        <v>42</v>
      </c>
      <c r="D304" s="2" t="s">
        <v>116</v>
      </c>
      <c r="E304" s="2" t="s">
        <v>39</v>
      </c>
      <c r="F304" s="2" t="s">
        <v>17</v>
      </c>
      <c r="G304" s="4" t="s">
        <v>697</v>
      </c>
      <c r="H304" s="6">
        <v>39.99</v>
      </c>
      <c r="I304" s="4" t="str">
        <f t="shared" si="4"/>
        <v>N/A</v>
      </c>
      <c r="J304" s="2" t="s">
        <v>33</v>
      </c>
      <c r="K304" s="2" t="s">
        <v>45</v>
      </c>
      <c r="L304" s="2" t="s">
        <v>35</v>
      </c>
      <c r="M304" s="11" t="s">
        <v>697</v>
      </c>
    </row>
    <row r="305" spans="1:13" x14ac:dyDescent="0.25">
      <c r="A305" s="10">
        <v>1303</v>
      </c>
      <c r="B305" s="3">
        <v>45260</v>
      </c>
      <c r="C305" s="2" t="s">
        <v>70</v>
      </c>
      <c r="D305" s="4" t="s">
        <v>697</v>
      </c>
      <c r="E305" s="2" t="s">
        <v>127</v>
      </c>
      <c r="F305" s="2" t="s">
        <v>73</v>
      </c>
      <c r="G305" s="2">
        <v>4</v>
      </c>
      <c r="H305" s="6">
        <v>29.99</v>
      </c>
      <c r="I305" s="4">
        <f t="shared" si="4"/>
        <v>119.96</v>
      </c>
      <c r="J305" s="2" t="s">
        <v>33</v>
      </c>
      <c r="K305" s="2" t="s">
        <v>34</v>
      </c>
      <c r="L305" s="2" t="s">
        <v>35</v>
      </c>
      <c r="M305" s="11" t="s">
        <v>697</v>
      </c>
    </row>
    <row r="306" spans="1:13" x14ac:dyDescent="0.25">
      <c r="A306" s="10">
        <v>1304</v>
      </c>
      <c r="B306" s="3">
        <v>45252</v>
      </c>
      <c r="C306" s="2" t="s">
        <v>77</v>
      </c>
      <c r="D306" s="2" t="s">
        <v>91</v>
      </c>
      <c r="E306" s="2" t="s">
        <v>44</v>
      </c>
      <c r="F306" s="2" t="s">
        <v>17</v>
      </c>
      <c r="G306" s="4" t="s">
        <v>697</v>
      </c>
      <c r="H306" s="6">
        <v>15.99</v>
      </c>
      <c r="I306" s="4" t="str">
        <f t="shared" si="4"/>
        <v>N/A</v>
      </c>
      <c r="J306" s="2" t="s">
        <v>54</v>
      </c>
      <c r="K306" s="2" t="s">
        <v>28</v>
      </c>
      <c r="L306" s="2" t="s">
        <v>40</v>
      </c>
      <c r="M306" s="11" t="s">
        <v>697</v>
      </c>
    </row>
    <row r="307" spans="1:13" x14ac:dyDescent="0.25">
      <c r="A307" s="10">
        <v>1305</v>
      </c>
      <c r="B307" s="5" t="s">
        <v>697</v>
      </c>
      <c r="C307" s="2" t="s">
        <v>42</v>
      </c>
      <c r="D307" s="2" t="s">
        <v>43</v>
      </c>
      <c r="E307" s="2" t="s">
        <v>82</v>
      </c>
      <c r="F307" s="2" t="s">
        <v>60</v>
      </c>
      <c r="G307" s="4" t="s">
        <v>697</v>
      </c>
      <c r="H307" s="6">
        <v>4.99</v>
      </c>
      <c r="I307" s="4" t="str">
        <f t="shared" si="4"/>
        <v>N/A</v>
      </c>
      <c r="J307" s="2" t="s">
        <v>27</v>
      </c>
      <c r="K307" s="2" t="s">
        <v>45</v>
      </c>
      <c r="L307" s="2" t="s">
        <v>35</v>
      </c>
      <c r="M307" s="11" t="s">
        <v>697</v>
      </c>
    </row>
    <row r="308" spans="1:13" x14ac:dyDescent="0.25">
      <c r="A308" s="10">
        <v>1306</v>
      </c>
      <c r="B308" s="5" t="s">
        <v>697</v>
      </c>
      <c r="C308" s="2" t="s">
        <v>23</v>
      </c>
      <c r="D308" s="2" t="s">
        <v>24</v>
      </c>
      <c r="E308" s="2" t="s">
        <v>127</v>
      </c>
      <c r="F308" s="2" t="s">
        <v>73</v>
      </c>
      <c r="G308" s="4" t="s">
        <v>697</v>
      </c>
      <c r="H308" s="6">
        <v>29.99</v>
      </c>
      <c r="I308" s="4" t="str">
        <f t="shared" si="4"/>
        <v>N/A</v>
      </c>
      <c r="J308" s="2" t="s">
        <v>33</v>
      </c>
      <c r="K308" s="2" t="s">
        <v>129</v>
      </c>
      <c r="L308" s="2" t="s">
        <v>40</v>
      </c>
      <c r="M308" s="11" t="s">
        <v>697</v>
      </c>
    </row>
    <row r="309" spans="1:13" x14ac:dyDescent="0.25">
      <c r="A309" s="10">
        <v>1307</v>
      </c>
      <c r="B309" s="3">
        <v>45148</v>
      </c>
      <c r="C309" s="2" t="s">
        <v>77</v>
      </c>
      <c r="D309" s="2" t="s">
        <v>114</v>
      </c>
      <c r="E309" s="2" t="s">
        <v>39</v>
      </c>
      <c r="F309" s="2" t="s">
        <v>17</v>
      </c>
      <c r="G309" s="2">
        <v>5</v>
      </c>
      <c r="H309" s="6">
        <v>39.99</v>
      </c>
      <c r="I309" s="4">
        <f t="shared" si="4"/>
        <v>199.95000000000002</v>
      </c>
      <c r="J309" s="2" t="s">
        <v>54</v>
      </c>
      <c r="K309" s="2" t="s">
        <v>45</v>
      </c>
      <c r="L309" s="2" t="s">
        <v>35</v>
      </c>
      <c r="M309" s="11" t="s">
        <v>697</v>
      </c>
    </row>
    <row r="310" spans="1:13" x14ac:dyDescent="0.25">
      <c r="A310" s="10">
        <v>1308</v>
      </c>
      <c r="B310" s="3">
        <v>45075</v>
      </c>
      <c r="C310" s="2" t="s">
        <v>23</v>
      </c>
      <c r="D310" s="2" t="s">
        <v>124</v>
      </c>
      <c r="E310" s="2" t="s">
        <v>72</v>
      </c>
      <c r="F310" s="2" t="s">
        <v>73</v>
      </c>
      <c r="G310" s="2">
        <v>2</v>
      </c>
      <c r="H310" s="6">
        <v>49.99</v>
      </c>
      <c r="I310" s="4">
        <f t="shared" si="4"/>
        <v>99.98</v>
      </c>
      <c r="J310" s="2" t="s">
        <v>33</v>
      </c>
      <c r="K310" s="2" t="s">
        <v>55</v>
      </c>
      <c r="L310" s="2" t="s">
        <v>29</v>
      </c>
      <c r="M310" s="11" t="s">
        <v>697</v>
      </c>
    </row>
    <row r="311" spans="1:13" x14ac:dyDescent="0.25">
      <c r="A311" s="10">
        <v>1309</v>
      </c>
      <c r="B311" s="3">
        <v>45426</v>
      </c>
      <c r="C311" s="2" t="s">
        <v>37</v>
      </c>
      <c r="D311" s="2" t="s">
        <v>169</v>
      </c>
      <c r="E311" s="2" t="s">
        <v>31</v>
      </c>
      <c r="F311" s="2" t="s">
        <v>32</v>
      </c>
      <c r="G311" s="2">
        <v>4</v>
      </c>
      <c r="H311" s="6">
        <v>79.989999999999995</v>
      </c>
      <c r="I311" s="4">
        <f t="shared" si="4"/>
        <v>319.95999999999998</v>
      </c>
      <c r="J311" s="2" t="s">
        <v>33</v>
      </c>
      <c r="K311" s="2" t="s">
        <v>55</v>
      </c>
      <c r="L311" s="2" t="s">
        <v>35</v>
      </c>
      <c r="M311" s="11" t="s">
        <v>697</v>
      </c>
    </row>
    <row r="312" spans="1:13" x14ac:dyDescent="0.25">
      <c r="A312" s="10">
        <v>1310</v>
      </c>
      <c r="B312" s="5" t="s">
        <v>697</v>
      </c>
      <c r="C312" s="2" t="s">
        <v>23</v>
      </c>
      <c r="D312" s="2" t="s">
        <v>124</v>
      </c>
      <c r="E312" s="2" t="s">
        <v>39</v>
      </c>
      <c r="F312" s="2" t="s">
        <v>17</v>
      </c>
      <c r="G312" s="2">
        <v>5</v>
      </c>
      <c r="H312" s="6">
        <v>39.99</v>
      </c>
      <c r="I312" s="4">
        <f t="shared" si="4"/>
        <v>199.95000000000002</v>
      </c>
      <c r="J312" s="2" t="s">
        <v>33</v>
      </c>
      <c r="K312" s="2" t="s">
        <v>28</v>
      </c>
      <c r="L312" s="2" t="s">
        <v>35</v>
      </c>
      <c r="M312" s="11" t="s">
        <v>697</v>
      </c>
    </row>
    <row r="313" spans="1:13" x14ac:dyDescent="0.25">
      <c r="A313" s="10">
        <v>1311</v>
      </c>
      <c r="B313" s="3">
        <v>44972</v>
      </c>
      <c r="C313" s="2" t="s">
        <v>37</v>
      </c>
      <c r="D313" s="2" t="s">
        <v>162</v>
      </c>
      <c r="E313" s="2" t="s">
        <v>44</v>
      </c>
      <c r="F313" s="2" t="s">
        <v>17</v>
      </c>
      <c r="G313" s="2">
        <v>1</v>
      </c>
      <c r="H313" s="6">
        <v>15.99</v>
      </c>
      <c r="I313" s="4">
        <f t="shared" si="4"/>
        <v>15.99</v>
      </c>
      <c r="J313" s="2" t="s">
        <v>33</v>
      </c>
      <c r="K313" s="2" t="s">
        <v>28</v>
      </c>
      <c r="L313" s="2" t="s">
        <v>35</v>
      </c>
      <c r="M313" s="11" t="s">
        <v>697</v>
      </c>
    </row>
    <row r="314" spans="1:13" x14ac:dyDescent="0.25">
      <c r="A314" s="10">
        <v>1312</v>
      </c>
      <c r="B314" s="3">
        <v>45071</v>
      </c>
      <c r="C314" s="2" t="s">
        <v>23</v>
      </c>
      <c r="D314" s="2" t="s">
        <v>24</v>
      </c>
      <c r="E314" s="2" t="s">
        <v>39</v>
      </c>
      <c r="F314" s="2" t="s">
        <v>17</v>
      </c>
      <c r="G314" s="2">
        <v>1</v>
      </c>
      <c r="H314" s="6">
        <v>39.99</v>
      </c>
      <c r="I314" s="4">
        <f t="shared" si="4"/>
        <v>39.99</v>
      </c>
      <c r="J314" s="2" t="s">
        <v>19</v>
      </c>
      <c r="K314" s="2" t="s">
        <v>129</v>
      </c>
      <c r="L314" s="2" t="s">
        <v>40</v>
      </c>
      <c r="M314" s="11" t="s">
        <v>697</v>
      </c>
    </row>
    <row r="315" spans="1:13" x14ac:dyDescent="0.25">
      <c r="A315" s="10">
        <v>1313</v>
      </c>
      <c r="B315" s="3">
        <v>45389</v>
      </c>
      <c r="C315" s="2" t="s">
        <v>23</v>
      </c>
      <c r="D315" s="2" t="s">
        <v>24</v>
      </c>
      <c r="E315" s="2" t="s">
        <v>85</v>
      </c>
      <c r="F315" s="2" t="s">
        <v>26</v>
      </c>
      <c r="G315" s="2">
        <v>2</v>
      </c>
      <c r="H315" s="6">
        <v>99.99</v>
      </c>
      <c r="I315" s="4">
        <f t="shared" si="4"/>
        <v>199.98</v>
      </c>
      <c r="J315" s="2" t="s">
        <v>33</v>
      </c>
      <c r="K315" s="2" t="s">
        <v>34</v>
      </c>
      <c r="L315" s="2" t="s">
        <v>40</v>
      </c>
      <c r="M315" s="11" t="s">
        <v>697</v>
      </c>
    </row>
    <row r="316" spans="1:13" x14ac:dyDescent="0.25">
      <c r="A316" s="10">
        <v>1314</v>
      </c>
      <c r="B316" s="5" t="s">
        <v>697</v>
      </c>
      <c r="C316" s="2" t="s">
        <v>42</v>
      </c>
      <c r="D316" s="2" t="s">
        <v>116</v>
      </c>
      <c r="E316" s="2" t="s">
        <v>92</v>
      </c>
      <c r="F316" s="2" t="s">
        <v>26</v>
      </c>
      <c r="G316" s="2">
        <v>3</v>
      </c>
      <c r="H316" s="6">
        <v>14.99</v>
      </c>
      <c r="I316" s="4">
        <f t="shared" si="4"/>
        <v>44.97</v>
      </c>
      <c r="J316" s="2" t="s">
        <v>54</v>
      </c>
      <c r="K316" s="2" t="s">
        <v>55</v>
      </c>
      <c r="L316" s="2" t="s">
        <v>35</v>
      </c>
      <c r="M316" s="11" t="s">
        <v>697</v>
      </c>
    </row>
    <row r="317" spans="1:13" x14ac:dyDescent="0.25">
      <c r="A317" s="10">
        <v>1315</v>
      </c>
      <c r="B317" s="3">
        <v>45043</v>
      </c>
      <c r="C317" s="2" t="s">
        <v>70</v>
      </c>
      <c r="D317" s="2" t="s">
        <v>71</v>
      </c>
      <c r="E317" s="2" t="s">
        <v>127</v>
      </c>
      <c r="F317" s="2" t="s">
        <v>73</v>
      </c>
      <c r="G317" s="2">
        <v>4</v>
      </c>
      <c r="H317" s="6">
        <v>29.99</v>
      </c>
      <c r="I317" s="4">
        <f t="shared" si="4"/>
        <v>119.96</v>
      </c>
      <c r="J317" s="2" t="s">
        <v>54</v>
      </c>
      <c r="K317" s="2" t="s">
        <v>34</v>
      </c>
      <c r="L317" s="2" t="s">
        <v>35</v>
      </c>
      <c r="M317" s="11" t="s">
        <v>697</v>
      </c>
    </row>
    <row r="318" spans="1:13" x14ac:dyDescent="0.25">
      <c r="A318" s="10">
        <v>1316</v>
      </c>
      <c r="B318" s="3">
        <v>45425</v>
      </c>
      <c r="C318" s="2" t="s">
        <v>70</v>
      </c>
      <c r="D318" s="2" t="s">
        <v>71</v>
      </c>
      <c r="E318" s="2" t="s">
        <v>85</v>
      </c>
      <c r="F318" s="2" t="s">
        <v>26</v>
      </c>
      <c r="G318" s="4" t="s">
        <v>697</v>
      </c>
      <c r="H318" s="6">
        <v>99.99</v>
      </c>
      <c r="I318" s="4" t="str">
        <f t="shared" si="4"/>
        <v>N/A</v>
      </c>
      <c r="J318" s="2" t="s">
        <v>33</v>
      </c>
      <c r="K318" s="2" t="s">
        <v>45</v>
      </c>
      <c r="L318" s="2" t="s">
        <v>29</v>
      </c>
      <c r="M318" s="11" t="s">
        <v>697</v>
      </c>
    </row>
    <row r="319" spans="1:13" x14ac:dyDescent="0.25">
      <c r="A319" s="10">
        <v>1317</v>
      </c>
      <c r="B319" s="5" t="s">
        <v>697</v>
      </c>
      <c r="C319" s="2" t="s">
        <v>42</v>
      </c>
      <c r="D319" s="2" t="s">
        <v>43</v>
      </c>
      <c r="E319" s="2" t="s">
        <v>39</v>
      </c>
      <c r="F319" s="2" t="s">
        <v>17</v>
      </c>
      <c r="G319" s="2">
        <v>1</v>
      </c>
      <c r="H319" s="6">
        <v>39.99</v>
      </c>
      <c r="I319" s="4">
        <f t="shared" si="4"/>
        <v>39.99</v>
      </c>
      <c r="J319" s="2" t="s">
        <v>33</v>
      </c>
      <c r="K319" s="2" t="s">
        <v>28</v>
      </c>
      <c r="L319" s="2" t="s">
        <v>35</v>
      </c>
      <c r="M319" s="11" t="s">
        <v>697</v>
      </c>
    </row>
    <row r="320" spans="1:13" x14ac:dyDescent="0.25">
      <c r="A320" s="10">
        <v>1318</v>
      </c>
      <c r="B320" s="3">
        <v>45014</v>
      </c>
      <c r="C320" s="2" t="s">
        <v>70</v>
      </c>
      <c r="D320" s="2" t="s">
        <v>131</v>
      </c>
      <c r="E320" s="2" t="s">
        <v>72</v>
      </c>
      <c r="F320" s="2" t="s">
        <v>73</v>
      </c>
      <c r="G320" s="4" t="s">
        <v>697</v>
      </c>
      <c r="H320" s="6">
        <v>49.99</v>
      </c>
      <c r="I320" s="4" t="str">
        <f t="shared" si="4"/>
        <v>N/A</v>
      </c>
      <c r="J320" s="2" t="s">
        <v>33</v>
      </c>
      <c r="K320" s="2" t="s">
        <v>34</v>
      </c>
      <c r="L320" s="2" t="s">
        <v>35</v>
      </c>
      <c r="M320" s="11" t="s">
        <v>697</v>
      </c>
    </row>
    <row r="321" spans="1:13" x14ac:dyDescent="0.25">
      <c r="A321" s="10">
        <v>1319</v>
      </c>
      <c r="B321" s="3">
        <v>44974</v>
      </c>
      <c r="C321" s="2" t="s">
        <v>65</v>
      </c>
      <c r="D321" s="2" t="s">
        <v>123</v>
      </c>
      <c r="E321" s="2" t="s">
        <v>82</v>
      </c>
      <c r="F321" s="2" t="s">
        <v>60</v>
      </c>
      <c r="G321" s="2">
        <v>3</v>
      </c>
      <c r="H321" s="6">
        <v>4.99</v>
      </c>
      <c r="I321" s="4">
        <f t="shared" si="4"/>
        <v>14.97</v>
      </c>
      <c r="J321" s="2" t="s">
        <v>33</v>
      </c>
      <c r="K321" s="2" t="s">
        <v>55</v>
      </c>
      <c r="L321" s="2" t="s">
        <v>35</v>
      </c>
      <c r="M321" s="12" t="s">
        <v>63</v>
      </c>
    </row>
    <row r="322" spans="1:13" x14ac:dyDescent="0.25">
      <c r="A322" s="10">
        <v>1320</v>
      </c>
      <c r="B322" s="3">
        <v>45277</v>
      </c>
      <c r="C322" s="2" t="s">
        <v>70</v>
      </c>
      <c r="D322" s="2" t="s">
        <v>71</v>
      </c>
      <c r="E322" s="2" t="s">
        <v>82</v>
      </c>
      <c r="F322" s="2" t="s">
        <v>60</v>
      </c>
      <c r="G322" s="2">
        <v>3</v>
      </c>
      <c r="H322" s="6">
        <v>4.99</v>
      </c>
      <c r="I322" s="4">
        <f t="shared" si="4"/>
        <v>14.97</v>
      </c>
      <c r="J322" s="2" t="s">
        <v>54</v>
      </c>
      <c r="K322" s="2" t="s">
        <v>34</v>
      </c>
      <c r="L322" s="2" t="s">
        <v>40</v>
      </c>
      <c r="M322" s="11" t="s">
        <v>697</v>
      </c>
    </row>
    <row r="323" spans="1:13" x14ac:dyDescent="0.25">
      <c r="A323" s="10">
        <v>1321</v>
      </c>
      <c r="B323" s="3">
        <v>45060</v>
      </c>
      <c r="C323" s="2" t="s">
        <v>42</v>
      </c>
      <c r="D323" s="2" t="s">
        <v>43</v>
      </c>
      <c r="E323" s="2" t="s">
        <v>39</v>
      </c>
      <c r="F323" s="2" t="s">
        <v>17</v>
      </c>
      <c r="G323" s="4" t="s">
        <v>697</v>
      </c>
      <c r="H323" s="6">
        <v>39.99</v>
      </c>
      <c r="I323" s="4" t="str">
        <f t="shared" ref="I323:I386" si="5">IF(G323="N/A","N/A",PRODUCT(G323,H323))</f>
        <v>N/A</v>
      </c>
      <c r="J323" s="2" t="s">
        <v>54</v>
      </c>
      <c r="K323" s="2" t="s">
        <v>55</v>
      </c>
      <c r="L323" s="2" t="s">
        <v>29</v>
      </c>
      <c r="M323" s="11" t="s">
        <v>697</v>
      </c>
    </row>
    <row r="324" spans="1:13" x14ac:dyDescent="0.25">
      <c r="A324" s="10">
        <v>1322</v>
      </c>
      <c r="B324" s="3">
        <v>45196</v>
      </c>
      <c r="C324" s="2" t="s">
        <v>14</v>
      </c>
      <c r="D324" s="2" t="s">
        <v>15</v>
      </c>
      <c r="E324" s="2" t="s">
        <v>92</v>
      </c>
      <c r="F324" s="2" t="s">
        <v>26</v>
      </c>
      <c r="G324" s="2">
        <v>1</v>
      </c>
      <c r="H324" s="6">
        <v>14.99</v>
      </c>
      <c r="I324" s="4">
        <f t="shared" si="5"/>
        <v>14.99</v>
      </c>
      <c r="J324" s="2" t="s">
        <v>27</v>
      </c>
      <c r="K324" s="2" t="s">
        <v>129</v>
      </c>
      <c r="L324" s="2" t="s">
        <v>29</v>
      </c>
      <c r="M324" s="11" t="s">
        <v>697</v>
      </c>
    </row>
    <row r="325" spans="1:13" x14ac:dyDescent="0.25">
      <c r="A325" s="10">
        <v>1323</v>
      </c>
      <c r="B325" s="5" t="s">
        <v>697</v>
      </c>
      <c r="C325" s="2" t="s">
        <v>14</v>
      </c>
      <c r="D325" s="2" t="s">
        <v>84</v>
      </c>
      <c r="E325" s="2" t="s">
        <v>85</v>
      </c>
      <c r="F325" s="2" t="s">
        <v>26</v>
      </c>
      <c r="G325" s="2">
        <v>5</v>
      </c>
      <c r="H325" s="6">
        <v>99.99</v>
      </c>
      <c r="I325" s="4">
        <f t="shared" si="5"/>
        <v>499.95</v>
      </c>
      <c r="J325" s="2" t="s">
        <v>33</v>
      </c>
      <c r="K325" s="2" t="s">
        <v>55</v>
      </c>
      <c r="L325" s="2" t="s">
        <v>35</v>
      </c>
      <c r="M325" s="11" t="s">
        <v>697</v>
      </c>
    </row>
    <row r="326" spans="1:13" x14ac:dyDescent="0.25">
      <c r="A326" s="10">
        <v>1324</v>
      </c>
      <c r="B326" s="3">
        <v>45105</v>
      </c>
      <c r="C326" s="2" t="s">
        <v>697</v>
      </c>
      <c r="D326" s="2" t="s">
        <v>24</v>
      </c>
      <c r="E326" s="2" t="s">
        <v>44</v>
      </c>
      <c r="F326" s="2" t="s">
        <v>17</v>
      </c>
      <c r="G326" s="2">
        <v>2</v>
      </c>
      <c r="H326" s="6">
        <v>15.99</v>
      </c>
      <c r="I326" s="4">
        <f t="shared" si="5"/>
        <v>31.98</v>
      </c>
      <c r="J326" s="2" t="s">
        <v>33</v>
      </c>
      <c r="K326" s="2" t="s">
        <v>129</v>
      </c>
      <c r="L326" s="2" t="s">
        <v>35</v>
      </c>
      <c r="M326" s="11" t="s">
        <v>697</v>
      </c>
    </row>
    <row r="327" spans="1:13" x14ac:dyDescent="0.25">
      <c r="A327" s="10">
        <v>1325</v>
      </c>
      <c r="B327" s="3">
        <v>45226</v>
      </c>
      <c r="C327" s="2" t="s">
        <v>37</v>
      </c>
      <c r="D327" s="2" t="s">
        <v>169</v>
      </c>
      <c r="E327" s="2" t="s">
        <v>39</v>
      </c>
      <c r="F327" s="2" t="s">
        <v>17</v>
      </c>
      <c r="G327" s="2">
        <v>4</v>
      </c>
      <c r="H327" s="6">
        <v>39.99</v>
      </c>
      <c r="I327" s="4">
        <f t="shared" si="5"/>
        <v>159.96</v>
      </c>
      <c r="J327" s="2" t="s">
        <v>19</v>
      </c>
      <c r="K327" s="2" t="s">
        <v>129</v>
      </c>
      <c r="L327" s="2" t="s">
        <v>40</v>
      </c>
      <c r="M327" s="11" t="s">
        <v>697</v>
      </c>
    </row>
    <row r="328" spans="1:13" x14ac:dyDescent="0.25">
      <c r="A328" s="10">
        <v>1326</v>
      </c>
      <c r="B328" s="3">
        <v>45382</v>
      </c>
      <c r="C328" s="2" t="s">
        <v>42</v>
      </c>
      <c r="D328" s="2" t="s">
        <v>48</v>
      </c>
      <c r="E328" s="2" t="s">
        <v>39</v>
      </c>
      <c r="F328" s="2" t="s">
        <v>17</v>
      </c>
      <c r="G328" s="4" t="s">
        <v>697</v>
      </c>
      <c r="H328" s="6">
        <v>39.99</v>
      </c>
      <c r="I328" s="4" t="str">
        <f t="shared" si="5"/>
        <v>N/A</v>
      </c>
      <c r="J328" s="2" t="s">
        <v>33</v>
      </c>
      <c r="K328" s="2" t="s">
        <v>45</v>
      </c>
      <c r="L328" s="2" t="s">
        <v>35</v>
      </c>
      <c r="M328" s="11" t="s">
        <v>697</v>
      </c>
    </row>
    <row r="329" spans="1:13" x14ac:dyDescent="0.25">
      <c r="A329" s="10">
        <v>1327</v>
      </c>
      <c r="B329" s="3">
        <v>45078</v>
      </c>
      <c r="C329" s="2" t="s">
        <v>70</v>
      </c>
      <c r="D329" s="4" t="s">
        <v>697</v>
      </c>
      <c r="E329" s="2" t="s">
        <v>44</v>
      </c>
      <c r="F329" s="2" t="s">
        <v>17</v>
      </c>
      <c r="G329" s="2">
        <v>1</v>
      </c>
      <c r="H329" s="6">
        <v>15.99</v>
      </c>
      <c r="I329" s="4">
        <f t="shared" si="5"/>
        <v>15.99</v>
      </c>
      <c r="J329" s="2" t="s">
        <v>27</v>
      </c>
      <c r="K329" s="2" t="s">
        <v>45</v>
      </c>
      <c r="L329" s="2" t="s">
        <v>40</v>
      </c>
      <c r="M329" s="11" t="s">
        <v>697</v>
      </c>
    </row>
    <row r="330" spans="1:13" x14ac:dyDescent="0.25">
      <c r="A330" s="10">
        <v>1328</v>
      </c>
      <c r="B330" s="3">
        <v>45051</v>
      </c>
      <c r="C330" s="2" t="s">
        <v>23</v>
      </c>
      <c r="D330" s="2" t="s">
        <v>124</v>
      </c>
      <c r="E330" s="2" t="s">
        <v>72</v>
      </c>
      <c r="F330" s="2" t="s">
        <v>73</v>
      </c>
      <c r="G330" s="2">
        <v>3</v>
      </c>
      <c r="H330" s="6">
        <v>49.99</v>
      </c>
      <c r="I330" s="4">
        <f t="shared" si="5"/>
        <v>149.97</v>
      </c>
      <c r="J330" s="2" t="s">
        <v>33</v>
      </c>
      <c r="K330" s="2" t="s">
        <v>28</v>
      </c>
      <c r="L330" s="2" t="s">
        <v>35</v>
      </c>
      <c r="M330" s="11" t="s">
        <v>697</v>
      </c>
    </row>
    <row r="331" spans="1:13" x14ac:dyDescent="0.25">
      <c r="A331" s="10">
        <v>1329</v>
      </c>
      <c r="B331" s="3">
        <v>44996</v>
      </c>
      <c r="C331" s="2" t="s">
        <v>65</v>
      </c>
      <c r="D331" s="2" t="s">
        <v>123</v>
      </c>
      <c r="E331" s="2" t="s">
        <v>127</v>
      </c>
      <c r="F331" s="2" t="s">
        <v>73</v>
      </c>
      <c r="G331" s="2">
        <v>4</v>
      </c>
      <c r="H331" s="6">
        <v>29.99</v>
      </c>
      <c r="I331" s="4">
        <f t="shared" si="5"/>
        <v>119.96</v>
      </c>
      <c r="J331" s="2" t="s">
        <v>27</v>
      </c>
      <c r="K331" s="2" t="s">
        <v>45</v>
      </c>
      <c r="L331" s="2" t="s">
        <v>35</v>
      </c>
      <c r="M331" s="11" t="s">
        <v>697</v>
      </c>
    </row>
    <row r="332" spans="1:13" x14ac:dyDescent="0.25">
      <c r="A332" s="10">
        <v>1330</v>
      </c>
      <c r="B332" s="3">
        <v>45386</v>
      </c>
      <c r="C332" s="2" t="s">
        <v>42</v>
      </c>
      <c r="D332" s="2" t="s">
        <v>116</v>
      </c>
      <c r="E332" s="2" t="s">
        <v>85</v>
      </c>
      <c r="F332" s="2" t="s">
        <v>26</v>
      </c>
      <c r="G332" s="2">
        <v>3</v>
      </c>
      <c r="H332" s="6">
        <v>99.99</v>
      </c>
      <c r="I332" s="4">
        <f t="shared" si="5"/>
        <v>299.96999999999997</v>
      </c>
      <c r="J332" s="2" t="s">
        <v>33</v>
      </c>
      <c r="K332" s="2" t="s">
        <v>55</v>
      </c>
      <c r="L332" s="2" t="s">
        <v>35</v>
      </c>
      <c r="M332" s="11" t="s">
        <v>697</v>
      </c>
    </row>
    <row r="333" spans="1:13" x14ac:dyDescent="0.25">
      <c r="A333" s="10">
        <v>1331</v>
      </c>
      <c r="B333" s="3">
        <v>45045</v>
      </c>
      <c r="C333" s="2" t="s">
        <v>14</v>
      </c>
      <c r="D333" s="4" t="s">
        <v>697</v>
      </c>
      <c r="E333" s="2" t="s">
        <v>127</v>
      </c>
      <c r="F333" s="2" t="s">
        <v>73</v>
      </c>
      <c r="G333" s="2">
        <v>3</v>
      </c>
      <c r="H333" s="6">
        <v>29.99</v>
      </c>
      <c r="I333" s="4">
        <f t="shared" si="5"/>
        <v>89.97</v>
      </c>
      <c r="J333" s="2" t="s">
        <v>33</v>
      </c>
      <c r="K333" s="2" t="s">
        <v>55</v>
      </c>
      <c r="L333" s="2" t="s">
        <v>35</v>
      </c>
      <c r="M333" s="11" t="s">
        <v>697</v>
      </c>
    </row>
    <row r="334" spans="1:13" x14ac:dyDescent="0.25">
      <c r="A334" s="10">
        <v>1332</v>
      </c>
      <c r="B334" s="3">
        <v>45426</v>
      </c>
      <c r="C334" s="2" t="s">
        <v>77</v>
      </c>
      <c r="D334" s="2" t="s">
        <v>91</v>
      </c>
      <c r="E334" s="2" t="s">
        <v>127</v>
      </c>
      <c r="F334" s="2" t="s">
        <v>73</v>
      </c>
      <c r="G334" s="2">
        <v>2</v>
      </c>
      <c r="H334" s="6">
        <v>29.99</v>
      </c>
      <c r="I334" s="4">
        <f t="shared" si="5"/>
        <v>59.98</v>
      </c>
      <c r="J334" s="2" t="s">
        <v>54</v>
      </c>
      <c r="K334" s="2" t="s">
        <v>34</v>
      </c>
      <c r="L334" s="2" t="s">
        <v>35</v>
      </c>
      <c r="M334" s="11" t="s">
        <v>697</v>
      </c>
    </row>
    <row r="335" spans="1:13" x14ac:dyDescent="0.25">
      <c r="A335" s="10">
        <v>1333</v>
      </c>
      <c r="B335" s="3">
        <v>45178</v>
      </c>
      <c r="C335" s="2" t="s">
        <v>23</v>
      </c>
      <c r="D335" s="2" t="s">
        <v>81</v>
      </c>
      <c r="E335" s="2" t="s">
        <v>92</v>
      </c>
      <c r="F335" s="2" t="s">
        <v>26</v>
      </c>
      <c r="G335" s="4" t="s">
        <v>697</v>
      </c>
      <c r="H335" s="6">
        <v>14.99</v>
      </c>
      <c r="I335" s="4" t="str">
        <f t="shared" si="5"/>
        <v>N/A</v>
      </c>
      <c r="J335" s="2" t="s">
        <v>19</v>
      </c>
      <c r="K335" s="2" t="s">
        <v>28</v>
      </c>
      <c r="L335" s="2" t="s">
        <v>29</v>
      </c>
      <c r="M335" s="11" t="s">
        <v>697</v>
      </c>
    </row>
    <row r="336" spans="1:13" x14ac:dyDescent="0.25">
      <c r="A336" s="10">
        <v>1334</v>
      </c>
      <c r="B336" s="3">
        <v>45194</v>
      </c>
      <c r="C336" s="2" t="s">
        <v>23</v>
      </c>
      <c r="D336" s="2" t="s">
        <v>81</v>
      </c>
      <c r="E336" s="2" t="s">
        <v>72</v>
      </c>
      <c r="F336" s="2" t="s">
        <v>73</v>
      </c>
      <c r="G336" s="4" t="s">
        <v>697</v>
      </c>
      <c r="H336" s="6">
        <v>49.99</v>
      </c>
      <c r="I336" s="4" t="str">
        <f t="shared" si="5"/>
        <v>N/A</v>
      </c>
      <c r="J336" s="2" t="s">
        <v>27</v>
      </c>
      <c r="K336" s="2" t="s">
        <v>129</v>
      </c>
      <c r="L336" s="2" t="s">
        <v>40</v>
      </c>
      <c r="M336" s="11" t="s">
        <v>697</v>
      </c>
    </row>
    <row r="337" spans="1:13" x14ac:dyDescent="0.25">
      <c r="A337" s="10">
        <v>1335</v>
      </c>
      <c r="B337" s="3">
        <v>45074</v>
      </c>
      <c r="C337" s="2" t="s">
        <v>65</v>
      </c>
      <c r="D337" s="2" t="s">
        <v>126</v>
      </c>
      <c r="E337" s="2" t="s">
        <v>44</v>
      </c>
      <c r="F337" s="2" t="s">
        <v>17</v>
      </c>
      <c r="G337" s="2">
        <v>1</v>
      </c>
      <c r="H337" s="6">
        <v>15.99</v>
      </c>
      <c r="I337" s="4">
        <f t="shared" si="5"/>
        <v>15.99</v>
      </c>
      <c r="J337" s="2" t="s">
        <v>33</v>
      </c>
      <c r="K337" s="2" t="s">
        <v>45</v>
      </c>
      <c r="L337" s="2" t="s">
        <v>35</v>
      </c>
      <c r="M337" s="11" t="s">
        <v>697</v>
      </c>
    </row>
    <row r="338" spans="1:13" x14ac:dyDescent="0.25">
      <c r="A338" s="10">
        <v>1336</v>
      </c>
      <c r="B338" s="3">
        <v>45426</v>
      </c>
      <c r="C338" s="2" t="s">
        <v>14</v>
      </c>
      <c r="D338" s="2" t="s">
        <v>84</v>
      </c>
      <c r="E338" s="2" t="s">
        <v>44</v>
      </c>
      <c r="F338" s="2" t="s">
        <v>17</v>
      </c>
      <c r="G338" s="2">
        <v>1</v>
      </c>
      <c r="H338" s="6">
        <v>15.99</v>
      </c>
      <c r="I338" s="4">
        <f t="shared" si="5"/>
        <v>15.99</v>
      </c>
      <c r="J338" s="2" t="s">
        <v>54</v>
      </c>
      <c r="K338" s="2" t="s">
        <v>129</v>
      </c>
      <c r="L338" s="2" t="s">
        <v>40</v>
      </c>
      <c r="M338" s="11" t="s">
        <v>697</v>
      </c>
    </row>
    <row r="339" spans="1:13" x14ac:dyDescent="0.25">
      <c r="A339" s="10">
        <v>1337</v>
      </c>
      <c r="B339" s="3">
        <v>45221</v>
      </c>
      <c r="C339" s="2" t="s">
        <v>70</v>
      </c>
      <c r="D339" s="2" t="s">
        <v>88</v>
      </c>
      <c r="E339" s="2" t="s">
        <v>127</v>
      </c>
      <c r="F339" s="2" t="s">
        <v>73</v>
      </c>
      <c r="G339" s="2">
        <v>2</v>
      </c>
      <c r="H339" s="6">
        <v>29.99</v>
      </c>
      <c r="I339" s="4">
        <f t="shared" si="5"/>
        <v>59.98</v>
      </c>
      <c r="J339" s="2" t="s">
        <v>33</v>
      </c>
      <c r="K339" s="2" t="s">
        <v>45</v>
      </c>
      <c r="L339" s="2" t="s">
        <v>35</v>
      </c>
      <c r="M339" s="11" t="s">
        <v>697</v>
      </c>
    </row>
    <row r="340" spans="1:13" x14ac:dyDescent="0.25">
      <c r="A340" s="10">
        <v>1338</v>
      </c>
      <c r="B340" s="3">
        <v>44975</v>
      </c>
      <c r="C340" s="2" t="s">
        <v>37</v>
      </c>
      <c r="D340" s="2" t="s">
        <v>38</v>
      </c>
      <c r="E340" s="2" t="s">
        <v>85</v>
      </c>
      <c r="F340" s="2" t="s">
        <v>26</v>
      </c>
      <c r="G340" s="4" t="s">
        <v>697</v>
      </c>
      <c r="H340" s="6">
        <v>99.99</v>
      </c>
      <c r="I340" s="4" t="str">
        <f t="shared" si="5"/>
        <v>N/A</v>
      </c>
      <c r="J340" s="2" t="s">
        <v>33</v>
      </c>
      <c r="K340" s="2" t="s">
        <v>28</v>
      </c>
      <c r="L340" s="2" t="s">
        <v>35</v>
      </c>
      <c r="M340" s="11" t="s">
        <v>697</v>
      </c>
    </row>
    <row r="341" spans="1:13" x14ac:dyDescent="0.25">
      <c r="A341" s="10">
        <v>1339</v>
      </c>
      <c r="B341" s="3">
        <v>45280</v>
      </c>
      <c r="C341" s="2" t="s">
        <v>65</v>
      </c>
      <c r="D341" s="2" t="s">
        <v>123</v>
      </c>
      <c r="E341" s="2" t="s">
        <v>39</v>
      </c>
      <c r="F341" s="2" t="s">
        <v>17</v>
      </c>
      <c r="G341" s="4" t="s">
        <v>697</v>
      </c>
      <c r="H341" s="6">
        <v>39.99</v>
      </c>
      <c r="I341" s="4" t="str">
        <f t="shared" si="5"/>
        <v>N/A</v>
      </c>
      <c r="J341" s="2" t="s">
        <v>54</v>
      </c>
      <c r="K341" s="2" t="s">
        <v>28</v>
      </c>
      <c r="L341" s="2" t="s">
        <v>29</v>
      </c>
      <c r="M341" s="11" t="s">
        <v>697</v>
      </c>
    </row>
    <row r="342" spans="1:13" x14ac:dyDescent="0.25">
      <c r="A342" s="10">
        <v>1340</v>
      </c>
      <c r="B342" s="3">
        <v>45350</v>
      </c>
      <c r="C342" s="2" t="s">
        <v>23</v>
      </c>
      <c r="D342" s="2" t="s">
        <v>124</v>
      </c>
      <c r="E342" s="2" t="s">
        <v>44</v>
      </c>
      <c r="F342" s="2" t="s">
        <v>17</v>
      </c>
      <c r="G342" s="2">
        <v>1</v>
      </c>
      <c r="H342" s="6">
        <v>15.99</v>
      </c>
      <c r="I342" s="4">
        <f t="shared" si="5"/>
        <v>15.99</v>
      </c>
      <c r="J342" s="2" t="s">
        <v>54</v>
      </c>
      <c r="K342" s="2" t="s">
        <v>45</v>
      </c>
      <c r="L342" s="2" t="s">
        <v>40</v>
      </c>
      <c r="M342" s="11" t="s">
        <v>697</v>
      </c>
    </row>
    <row r="343" spans="1:13" x14ac:dyDescent="0.25">
      <c r="A343" s="10">
        <v>1341</v>
      </c>
      <c r="B343" s="3">
        <v>45167</v>
      </c>
      <c r="C343" s="2" t="s">
        <v>37</v>
      </c>
      <c r="D343" s="2" t="s">
        <v>38</v>
      </c>
      <c r="E343" s="2" t="s">
        <v>39</v>
      </c>
      <c r="F343" s="2" t="s">
        <v>17</v>
      </c>
      <c r="G343" s="2">
        <v>1</v>
      </c>
      <c r="H343" s="6">
        <v>39.99</v>
      </c>
      <c r="I343" s="4">
        <f t="shared" si="5"/>
        <v>39.99</v>
      </c>
      <c r="J343" s="2" t="s">
        <v>27</v>
      </c>
      <c r="K343" s="2" t="s">
        <v>45</v>
      </c>
      <c r="L343" s="2" t="s">
        <v>35</v>
      </c>
      <c r="M343" s="11" t="s">
        <v>697</v>
      </c>
    </row>
    <row r="344" spans="1:13" x14ac:dyDescent="0.25">
      <c r="A344" s="10">
        <v>1342</v>
      </c>
      <c r="B344" s="3">
        <v>45142</v>
      </c>
      <c r="C344" s="2" t="s">
        <v>77</v>
      </c>
      <c r="D344" s="4" t="s">
        <v>697</v>
      </c>
      <c r="E344" s="2" t="s">
        <v>39</v>
      </c>
      <c r="F344" s="2" t="s">
        <v>17</v>
      </c>
      <c r="G344" s="2">
        <v>1</v>
      </c>
      <c r="H344" s="6">
        <v>39.99</v>
      </c>
      <c r="I344" s="4">
        <f t="shared" si="5"/>
        <v>39.99</v>
      </c>
      <c r="J344" s="2" t="s">
        <v>33</v>
      </c>
      <c r="K344" s="2" t="s">
        <v>34</v>
      </c>
      <c r="L344" s="2" t="s">
        <v>35</v>
      </c>
      <c r="M344" s="11" t="s">
        <v>697</v>
      </c>
    </row>
    <row r="345" spans="1:13" x14ac:dyDescent="0.25">
      <c r="A345" s="10">
        <v>1343</v>
      </c>
      <c r="B345" s="5" t="s">
        <v>697</v>
      </c>
      <c r="C345" s="2" t="s">
        <v>65</v>
      </c>
      <c r="D345" s="2" t="s">
        <v>123</v>
      </c>
      <c r="E345" s="2" t="s">
        <v>85</v>
      </c>
      <c r="F345" s="2" t="s">
        <v>26</v>
      </c>
      <c r="G345" s="2">
        <v>2</v>
      </c>
      <c r="H345" s="6">
        <v>99.99</v>
      </c>
      <c r="I345" s="4">
        <f t="shared" si="5"/>
        <v>199.98</v>
      </c>
      <c r="J345" s="2" t="s">
        <v>54</v>
      </c>
      <c r="K345" s="2" t="s">
        <v>28</v>
      </c>
      <c r="L345" s="2" t="s">
        <v>29</v>
      </c>
      <c r="M345" s="11" t="s">
        <v>697</v>
      </c>
    </row>
    <row r="346" spans="1:13" x14ac:dyDescent="0.25">
      <c r="A346" s="10">
        <v>1344</v>
      </c>
      <c r="B346" s="3">
        <v>45420</v>
      </c>
      <c r="C346" s="2" t="s">
        <v>37</v>
      </c>
      <c r="D346" s="2" t="s">
        <v>169</v>
      </c>
      <c r="E346" s="2" t="s">
        <v>52</v>
      </c>
      <c r="F346" s="2" t="s">
        <v>53</v>
      </c>
      <c r="G346" s="2">
        <v>1</v>
      </c>
      <c r="H346" s="6">
        <v>59.99</v>
      </c>
      <c r="I346" s="4">
        <f t="shared" si="5"/>
        <v>59.99</v>
      </c>
      <c r="J346" s="2" t="s">
        <v>33</v>
      </c>
      <c r="K346" s="2" t="s">
        <v>45</v>
      </c>
      <c r="L346" s="2" t="s">
        <v>29</v>
      </c>
      <c r="M346" s="11" t="s">
        <v>697</v>
      </c>
    </row>
    <row r="347" spans="1:13" x14ac:dyDescent="0.25">
      <c r="A347" s="10">
        <v>1345</v>
      </c>
      <c r="B347" s="3">
        <v>45281</v>
      </c>
      <c r="C347" s="2" t="s">
        <v>70</v>
      </c>
      <c r="D347" s="2" t="s">
        <v>131</v>
      </c>
      <c r="E347" s="2" t="s">
        <v>92</v>
      </c>
      <c r="F347" s="2" t="s">
        <v>26</v>
      </c>
      <c r="G347" s="2">
        <v>1</v>
      </c>
      <c r="H347" s="6">
        <v>14.99</v>
      </c>
      <c r="I347" s="4">
        <f t="shared" si="5"/>
        <v>14.99</v>
      </c>
      <c r="J347" s="2" t="s">
        <v>27</v>
      </c>
      <c r="K347" s="2" t="s">
        <v>28</v>
      </c>
      <c r="L347" s="2" t="s">
        <v>40</v>
      </c>
      <c r="M347" s="11" t="s">
        <v>697</v>
      </c>
    </row>
    <row r="348" spans="1:13" x14ac:dyDescent="0.25">
      <c r="A348" s="10">
        <v>1346</v>
      </c>
      <c r="B348" s="5" t="s">
        <v>697</v>
      </c>
      <c r="C348" s="2" t="s">
        <v>14</v>
      </c>
      <c r="D348" s="2" t="s">
        <v>84</v>
      </c>
      <c r="E348" s="2" t="s">
        <v>44</v>
      </c>
      <c r="F348" s="2" t="s">
        <v>17</v>
      </c>
      <c r="G348" s="2">
        <v>2</v>
      </c>
      <c r="H348" s="6">
        <v>15.99</v>
      </c>
      <c r="I348" s="4">
        <f t="shared" si="5"/>
        <v>31.98</v>
      </c>
      <c r="J348" s="2" t="s">
        <v>33</v>
      </c>
      <c r="K348" s="2" t="s">
        <v>28</v>
      </c>
      <c r="L348" s="2" t="s">
        <v>29</v>
      </c>
      <c r="M348" s="11" t="s">
        <v>697</v>
      </c>
    </row>
    <row r="349" spans="1:13" x14ac:dyDescent="0.25">
      <c r="A349" s="10">
        <v>1347</v>
      </c>
      <c r="B349" s="3">
        <v>45330</v>
      </c>
      <c r="C349" s="2" t="s">
        <v>70</v>
      </c>
      <c r="D349" s="4" t="s">
        <v>697</v>
      </c>
      <c r="E349" s="2" t="s">
        <v>82</v>
      </c>
      <c r="F349" s="2" t="s">
        <v>60</v>
      </c>
      <c r="G349" s="4" t="s">
        <v>697</v>
      </c>
      <c r="H349" s="6">
        <v>4.99</v>
      </c>
      <c r="I349" s="4" t="str">
        <f t="shared" si="5"/>
        <v>N/A</v>
      </c>
      <c r="J349" s="2" t="s">
        <v>54</v>
      </c>
      <c r="K349" s="2" t="s">
        <v>45</v>
      </c>
      <c r="L349" s="2" t="s">
        <v>29</v>
      </c>
      <c r="M349" s="11" t="s">
        <v>697</v>
      </c>
    </row>
    <row r="350" spans="1:13" x14ac:dyDescent="0.25">
      <c r="A350" s="10">
        <v>1348</v>
      </c>
      <c r="B350" s="5" t="s">
        <v>697</v>
      </c>
      <c r="C350" s="2" t="s">
        <v>37</v>
      </c>
      <c r="D350" s="2" t="s">
        <v>38</v>
      </c>
      <c r="E350" s="2" t="s">
        <v>82</v>
      </c>
      <c r="F350" s="2" t="s">
        <v>60</v>
      </c>
      <c r="G350" s="2">
        <v>4</v>
      </c>
      <c r="H350" s="6">
        <v>4.99</v>
      </c>
      <c r="I350" s="4">
        <f t="shared" si="5"/>
        <v>19.96</v>
      </c>
      <c r="J350" s="2" t="s">
        <v>19</v>
      </c>
      <c r="K350" s="2" t="s">
        <v>45</v>
      </c>
      <c r="L350" s="2" t="s">
        <v>29</v>
      </c>
      <c r="M350" s="11" t="s">
        <v>697</v>
      </c>
    </row>
    <row r="351" spans="1:13" x14ac:dyDescent="0.25">
      <c r="A351" s="10">
        <v>1349</v>
      </c>
      <c r="B351" s="3">
        <v>45266</v>
      </c>
      <c r="C351" s="2" t="s">
        <v>14</v>
      </c>
      <c r="D351" s="2" t="s">
        <v>15</v>
      </c>
      <c r="E351" s="2" t="s">
        <v>39</v>
      </c>
      <c r="F351" s="2" t="s">
        <v>17</v>
      </c>
      <c r="G351" s="2">
        <v>5</v>
      </c>
      <c r="H351" s="6">
        <v>39.99</v>
      </c>
      <c r="I351" s="4">
        <f t="shared" si="5"/>
        <v>199.95000000000002</v>
      </c>
      <c r="J351" s="2" t="s">
        <v>33</v>
      </c>
      <c r="K351" s="2" t="s">
        <v>28</v>
      </c>
      <c r="L351" s="2" t="s">
        <v>40</v>
      </c>
      <c r="M351" s="11" t="s">
        <v>697</v>
      </c>
    </row>
    <row r="352" spans="1:13" x14ac:dyDescent="0.25">
      <c r="A352" s="10">
        <v>1350</v>
      </c>
      <c r="B352" s="3">
        <v>45084</v>
      </c>
      <c r="C352" s="2" t="s">
        <v>65</v>
      </c>
      <c r="D352" s="2" t="s">
        <v>66</v>
      </c>
      <c r="E352" s="2" t="s">
        <v>127</v>
      </c>
      <c r="F352" s="2" t="s">
        <v>73</v>
      </c>
      <c r="G352" s="2">
        <v>1</v>
      </c>
      <c r="H352" s="6">
        <v>29.99</v>
      </c>
      <c r="I352" s="4">
        <f t="shared" si="5"/>
        <v>29.99</v>
      </c>
      <c r="J352" s="2" t="s">
        <v>33</v>
      </c>
      <c r="K352" s="2" t="s">
        <v>45</v>
      </c>
      <c r="L352" s="2" t="s">
        <v>29</v>
      </c>
      <c r="M352" s="11" t="s">
        <v>697</v>
      </c>
    </row>
    <row r="353" spans="1:13" x14ac:dyDescent="0.25">
      <c r="A353" s="10">
        <v>1351</v>
      </c>
      <c r="B353" s="5" t="s">
        <v>697</v>
      </c>
      <c r="C353" s="2" t="s">
        <v>65</v>
      </c>
      <c r="D353" s="2" t="s">
        <v>123</v>
      </c>
      <c r="E353" s="2" t="s">
        <v>72</v>
      </c>
      <c r="F353" s="2" t="s">
        <v>73</v>
      </c>
      <c r="G353" s="2">
        <v>3</v>
      </c>
      <c r="H353" s="6">
        <v>49.99</v>
      </c>
      <c r="I353" s="4">
        <f t="shared" si="5"/>
        <v>149.97</v>
      </c>
      <c r="J353" s="2" t="s">
        <v>19</v>
      </c>
      <c r="K353" s="2" t="s">
        <v>34</v>
      </c>
      <c r="L353" s="2" t="s">
        <v>35</v>
      </c>
      <c r="M353" s="11" t="s">
        <v>697</v>
      </c>
    </row>
    <row r="354" spans="1:13" x14ac:dyDescent="0.25">
      <c r="A354" s="10">
        <v>1352</v>
      </c>
      <c r="B354" s="5" t="s">
        <v>697</v>
      </c>
      <c r="C354" s="2" t="s">
        <v>697</v>
      </c>
      <c r="D354" s="2" t="s">
        <v>24</v>
      </c>
      <c r="E354" s="2" t="s">
        <v>39</v>
      </c>
      <c r="F354" s="2" t="s">
        <v>17</v>
      </c>
      <c r="G354" s="2">
        <v>2</v>
      </c>
      <c r="H354" s="6">
        <v>39.99</v>
      </c>
      <c r="I354" s="4">
        <f t="shared" si="5"/>
        <v>79.98</v>
      </c>
      <c r="J354" s="2" t="s">
        <v>27</v>
      </c>
      <c r="K354" s="2" t="s">
        <v>34</v>
      </c>
      <c r="L354" s="2" t="s">
        <v>29</v>
      </c>
      <c r="M354" s="11" t="s">
        <v>697</v>
      </c>
    </row>
    <row r="355" spans="1:13" x14ac:dyDescent="0.25">
      <c r="A355" s="10">
        <v>1353</v>
      </c>
      <c r="B355" s="3">
        <v>45071</v>
      </c>
      <c r="C355" s="2" t="s">
        <v>37</v>
      </c>
      <c r="D355" s="2" t="s">
        <v>169</v>
      </c>
      <c r="E355" s="2" t="s">
        <v>39</v>
      </c>
      <c r="F355" s="2" t="s">
        <v>17</v>
      </c>
      <c r="G355" s="2">
        <v>1</v>
      </c>
      <c r="H355" s="6">
        <v>39.99</v>
      </c>
      <c r="I355" s="4">
        <f t="shared" si="5"/>
        <v>39.99</v>
      </c>
      <c r="J355" s="2" t="s">
        <v>54</v>
      </c>
      <c r="K355" s="2" t="s">
        <v>28</v>
      </c>
      <c r="L355" s="2" t="s">
        <v>35</v>
      </c>
      <c r="M355" s="11" t="s">
        <v>697</v>
      </c>
    </row>
    <row r="356" spans="1:13" x14ac:dyDescent="0.25">
      <c r="A356" s="10">
        <v>1354</v>
      </c>
      <c r="B356" s="3">
        <v>45327</v>
      </c>
      <c r="C356" s="2" t="s">
        <v>37</v>
      </c>
      <c r="D356" s="2" t="s">
        <v>162</v>
      </c>
      <c r="E356" s="2" t="s">
        <v>52</v>
      </c>
      <c r="F356" s="2" t="s">
        <v>53</v>
      </c>
      <c r="G356" s="2">
        <v>4</v>
      </c>
      <c r="H356" s="6">
        <v>59.99</v>
      </c>
      <c r="I356" s="4">
        <f t="shared" si="5"/>
        <v>239.96</v>
      </c>
      <c r="J356" s="2" t="s">
        <v>27</v>
      </c>
      <c r="K356" s="2" t="s">
        <v>34</v>
      </c>
      <c r="L356" s="2" t="s">
        <v>29</v>
      </c>
      <c r="M356" s="11" t="s">
        <v>697</v>
      </c>
    </row>
    <row r="357" spans="1:13" x14ac:dyDescent="0.25">
      <c r="A357" s="10">
        <v>1355</v>
      </c>
      <c r="B357" s="3">
        <v>45175</v>
      </c>
      <c r="C357" s="2" t="s">
        <v>37</v>
      </c>
      <c r="D357" s="2" t="s">
        <v>38</v>
      </c>
      <c r="E357" s="2" t="s">
        <v>52</v>
      </c>
      <c r="F357" s="2" t="s">
        <v>53</v>
      </c>
      <c r="G357" s="2">
        <v>4</v>
      </c>
      <c r="H357" s="6">
        <v>59.99</v>
      </c>
      <c r="I357" s="4">
        <f t="shared" si="5"/>
        <v>239.96</v>
      </c>
      <c r="J357" s="2" t="s">
        <v>27</v>
      </c>
      <c r="K357" s="2" t="s">
        <v>28</v>
      </c>
      <c r="L357" s="2" t="s">
        <v>35</v>
      </c>
      <c r="M357" s="11" t="s">
        <v>697</v>
      </c>
    </row>
    <row r="358" spans="1:13" x14ac:dyDescent="0.25">
      <c r="A358" s="10">
        <v>1356</v>
      </c>
      <c r="B358" s="3">
        <v>44948</v>
      </c>
      <c r="C358" s="2" t="s">
        <v>23</v>
      </c>
      <c r="D358" s="2" t="s">
        <v>24</v>
      </c>
      <c r="E358" s="2" t="s">
        <v>127</v>
      </c>
      <c r="F358" s="2" t="s">
        <v>73</v>
      </c>
      <c r="G358" s="2">
        <v>3</v>
      </c>
      <c r="H358" s="6">
        <v>29.99</v>
      </c>
      <c r="I358" s="4">
        <f t="shared" si="5"/>
        <v>89.97</v>
      </c>
      <c r="J358" s="2" t="s">
        <v>33</v>
      </c>
      <c r="K358" s="2" t="s">
        <v>45</v>
      </c>
      <c r="L358" s="2" t="s">
        <v>29</v>
      </c>
      <c r="M358" s="11" t="s">
        <v>697</v>
      </c>
    </row>
    <row r="359" spans="1:13" x14ac:dyDescent="0.25">
      <c r="A359" s="10">
        <v>1357</v>
      </c>
      <c r="B359" s="3">
        <v>45084</v>
      </c>
      <c r="C359" s="2" t="s">
        <v>23</v>
      </c>
      <c r="D359" s="2" t="s">
        <v>81</v>
      </c>
      <c r="E359" s="2" t="s">
        <v>82</v>
      </c>
      <c r="F359" s="2" t="s">
        <v>60</v>
      </c>
      <c r="G359" s="2">
        <v>1</v>
      </c>
      <c r="H359" s="6">
        <v>4.99</v>
      </c>
      <c r="I359" s="4">
        <f t="shared" si="5"/>
        <v>4.99</v>
      </c>
      <c r="J359" s="2" t="s">
        <v>54</v>
      </c>
      <c r="K359" s="2" t="s">
        <v>28</v>
      </c>
      <c r="L359" s="2" t="s">
        <v>35</v>
      </c>
      <c r="M359" s="11" t="s">
        <v>697</v>
      </c>
    </row>
    <row r="360" spans="1:13" x14ac:dyDescent="0.25">
      <c r="A360" s="10">
        <v>1358</v>
      </c>
      <c r="B360" s="5" t="s">
        <v>697</v>
      </c>
      <c r="C360" s="2" t="s">
        <v>697</v>
      </c>
      <c r="D360" s="2" t="s">
        <v>78</v>
      </c>
      <c r="E360" s="2" t="s">
        <v>44</v>
      </c>
      <c r="F360" s="2" t="s">
        <v>17</v>
      </c>
      <c r="G360" s="4" t="s">
        <v>697</v>
      </c>
      <c r="H360" s="6">
        <v>15.99</v>
      </c>
      <c r="I360" s="4" t="str">
        <f t="shared" si="5"/>
        <v>N/A</v>
      </c>
      <c r="J360" s="2" t="s">
        <v>33</v>
      </c>
      <c r="K360" s="2" t="s">
        <v>28</v>
      </c>
      <c r="L360" s="2" t="s">
        <v>35</v>
      </c>
      <c r="M360" s="11" t="s">
        <v>697</v>
      </c>
    </row>
    <row r="361" spans="1:13" x14ac:dyDescent="0.25">
      <c r="A361" s="10">
        <v>1359</v>
      </c>
      <c r="B361" s="3">
        <v>45208</v>
      </c>
      <c r="C361" s="2" t="s">
        <v>77</v>
      </c>
      <c r="D361" s="2" t="s">
        <v>114</v>
      </c>
      <c r="E361" s="2" t="s">
        <v>127</v>
      </c>
      <c r="F361" s="2" t="s">
        <v>73</v>
      </c>
      <c r="G361" s="2">
        <v>1</v>
      </c>
      <c r="H361" s="6">
        <v>29.99</v>
      </c>
      <c r="I361" s="4">
        <f t="shared" si="5"/>
        <v>29.99</v>
      </c>
      <c r="J361" s="2" t="s">
        <v>27</v>
      </c>
      <c r="K361" s="2" t="s">
        <v>129</v>
      </c>
      <c r="L361" s="2" t="s">
        <v>35</v>
      </c>
      <c r="M361" s="11" t="s">
        <v>697</v>
      </c>
    </row>
    <row r="362" spans="1:13" x14ac:dyDescent="0.25">
      <c r="A362" s="10">
        <v>1360</v>
      </c>
      <c r="B362" s="5" t="s">
        <v>697</v>
      </c>
      <c r="C362" s="2" t="s">
        <v>697</v>
      </c>
      <c r="D362" s="2" t="s">
        <v>124</v>
      </c>
      <c r="E362" s="2" t="s">
        <v>85</v>
      </c>
      <c r="F362" s="2" t="s">
        <v>26</v>
      </c>
      <c r="G362" s="4" t="s">
        <v>697</v>
      </c>
      <c r="H362" s="6">
        <v>99.99</v>
      </c>
      <c r="I362" s="4" t="str">
        <f t="shared" si="5"/>
        <v>N/A</v>
      </c>
      <c r="J362" s="2" t="s">
        <v>33</v>
      </c>
      <c r="K362" s="2" t="s">
        <v>129</v>
      </c>
      <c r="L362" s="2" t="s">
        <v>35</v>
      </c>
      <c r="M362" s="11" t="s">
        <v>697</v>
      </c>
    </row>
    <row r="363" spans="1:13" x14ac:dyDescent="0.25">
      <c r="A363" s="10">
        <v>1361</v>
      </c>
      <c r="B363" s="3">
        <v>45037</v>
      </c>
      <c r="C363" s="2" t="s">
        <v>14</v>
      </c>
      <c r="D363" s="2" t="s">
        <v>15</v>
      </c>
      <c r="E363" s="2" t="s">
        <v>85</v>
      </c>
      <c r="F363" s="2" t="s">
        <v>26</v>
      </c>
      <c r="G363" s="2">
        <v>4</v>
      </c>
      <c r="H363" s="6">
        <v>99.99</v>
      </c>
      <c r="I363" s="4">
        <f t="shared" si="5"/>
        <v>399.96</v>
      </c>
      <c r="J363" s="2" t="s">
        <v>33</v>
      </c>
      <c r="K363" s="2" t="s">
        <v>28</v>
      </c>
      <c r="L363" s="2" t="s">
        <v>40</v>
      </c>
      <c r="M363" s="11" t="s">
        <v>697</v>
      </c>
    </row>
    <row r="364" spans="1:13" x14ac:dyDescent="0.25">
      <c r="A364" s="10">
        <v>1362</v>
      </c>
      <c r="B364" s="5" t="s">
        <v>697</v>
      </c>
      <c r="C364" s="2" t="s">
        <v>42</v>
      </c>
      <c r="D364" s="2" t="s">
        <v>43</v>
      </c>
      <c r="E364" s="2" t="s">
        <v>127</v>
      </c>
      <c r="F364" s="2" t="s">
        <v>73</v>
      </c>
      <c r="G364" s="2">
        <v>2</v>
      </c>
      <c r="H364" s="6">
        <v>29.99</v>
      </c>
      <c r="I364" s="4">
        <f t="shared" si="5"/>
        <v>59.98</v>
      </c>
      <c r="J364" s="2" t="s">
        <v>54</v>
      </c>
      <c r="K364" s="2" t="s">
        <v>28</v>
      </c>
      <c r="L364" s="2" t="s">
        <v>29</v>
      </c>
      <c r="M364" s="11" t="s">
        <v>697</v>
      </c>
    </row>
    <row r="365" spans="1:13" x14ac:dyDescent="0.25">
      <c r="A365" s="10">
        <v>1363</v>
      </c>
      <c r="B365" s="3">
        <v>45409</v>
      </c>
      <c r="C365" s="2" t="s">
        <v>42</v>
      </c>
      <c r="D365" s="2" t="s">
        <v>116</v>
      </c>
      <c r="E365" s="2" t="s">
        <v>85</v>
      </c>
      <c r="F365" s="2" t="s">
        <v>26</v>
      </c>
      <c r="G365" s="2">
        <v>2</v>
      </c>
      <c r="H365" s="6">
        <v>99.99</v>
      </c>
      <c r="I365" s="4">
        <f t="shared" si="5"/>
        <v>199.98</v>
      </c>
      <c r="J365" s="2" t="s">
        <v>33</v>
      </c>
      <c r="K365" s="2" t="s">
        <v>34</v>
      </c>
      <c r="L365" s="2" t="s">
        <v>40</v>
      </c>
      <c r="M365" s="11" t="s">
        <v>697</v>
      </c>
    </row>
    <row r="366" spans="1:13" x14ac:dyDescent="0.25">
      <c r="A366" s="10">
        <v>1364</v>
      </c>
      <c r="B366" s="3">
        <v>44957</v>
      </c>
      <c r="C366" s="2" t="s">
        <v>14</v>
      </c>
      <c r="D366" s="2" t="s">
        <v>75</v>
      </c>
      <c r="E366" s="2" t="s">
        <v>85</v>
      </c>
      <c r="F366" s="2" t="s">
        <v>26</v>
      </c>
      <c r="G366" s="2">
        <v>4</v>
      </c>
      <c r="H366" s="6">
        <v>99.99</v>
      </c>
      <c r="I366" s="4">
        <f t="shared" si="5"/>
        <v>399.96</v>
      </c>
      <c r="J366" s="2" t="s">
        <v>33</v>
      </c>
      <c r="K366" s="2" t="s">
        <v>45</v>
      </c>
      <c r="L366" s="2" t="s">
        <v>35</v>
      </c>
      <c r="M366" s="11" t="s">
        <v>697</v>
      </c>
    </row>
    <row r="367" spans="1:13" x14ac:dyDescent="0.25">
      <c r="A367" s="10">
        <v>1365</v>
      </c>
      <c r="B367" s="3">
        <v>45034</v>
      </c>
      <c r="C367" s="2" t="s">
        <v>70</v>
      </c>
      <c r="D367" s="2" t="s">
        <v>131</v>
      </c>
      <c r="E367" s="2" t="s">
        <v>44</v>
      </c>
      <c r="F367" s="2" t="s">
        <v>17</v>
      </c>
      <c r="G367" s="2">
        <v>1</v>
      </c>
      <c r="H367" s="6">
        <v>15.99</v>
      </c>
      <c r="I367" s="4">
        <f t="shared" si="5"/>
        <v>15.99</v>
      </c>
      <c r="J367" s="2" t="s">
        <v>33</v>
      </c>
      <c r="K367" s="2" t="s">
        <v>28</v>
      </c>
      <c r="L367" s="2" t="s">
        <v>35</v>
      </c>
      <c r="M367" s="11" t="s">
        <v>697</v>
      </c>
    </row>
    <row r="368" spans="1:13" x14ac:dyDescent="0.25">
      <c r="A368" s="10">
        <v>1366</v>
      </c>
      <c r="B368" s="3">
        <v>45276</v>
      </c>
      <c r="C368" s="2" t="s">
        <v>42</v>
      </c>
      <c r="D368" s="2" t="s">
        <v>43</v>
      </c>
      <c r="E368" s="2" t="s">
        <v>85</v>
      </c>
      <c r="F368" s="2" t="s">
        <v>26</v>
      </c>
      <c r="G368" s="4" t="s">
        <v>697</v>
      </c>
      <c r="H368" s="6">
        <v>99.99</v>
      </c>
      <c r="I368" s="4" t="str">
        <f t="shared" si="5"/>
        <v>N/A</v>
      </c>
      <c r="J368" s="2" t="s">
        <v>54</v>
      </c>
      <c r="K368" s="2" t="s">
        <v>34</v>
      </c>
      <c r="L368" s="2" t="s">
        <v>35</v>
      </c>
      <c r="M368" s="11" t="s">
        <v>697</v>
      </c>
    </row>
    <row r="369" spans="1:13" x14ac:dyDescent="0.25">
      <c r="A369" s="10">
        <v>1367</v>
      </c>
      <c r="B369" s="5" t="s">
        <v>697</v>
      </c>
      <c r="C369" s="2" t="s">
        <v>65</v>
      </c>
      <c r="D369" s="2" t="s">
        <v>66</v>
      </c>
      <c r="E369" s="2" t="s">
        <v>52</v>
      </c>
      <c r="F369" s="2" t="s">
        <v>53</v>
      </c>
      <c r="G369" s="2">
        <v>5</v>
      </c>
      <c r="H369" s="6">
        <v>59.99</v>
      </c>
      <c r="I369" s="4">
        <f t="shared" si="5"/>
        <v>299.95</v>
      </c>
      <c r="J369" s="2" t="s">
        <v>19</v>
      </c>
      <c r="K369" s="2" t="s">
        <v>28</v>
      </c>
      <c r="L369" s="2" t="s">
        <v>35</v>
      </c>
      <c r="M369" s="12" t="s">
        <v>63</v>
      </c>
    </row>
    <row r="370" spans="1:13" x14ac:dyDescent="0.25">
      <c r="A370" s="10">
        <v>1368</v>
      </c>
      <c r="B370" s="5" t="s">
        <v>697</v>
      </c>
      <c r="C370" s="2" t="s">
        <v>70</v>
      </c>
      <c r="D370" s="2" t="s">
        <v>131</v>
      </c>
      <c r="E370" s="2" t="s">
        <v>92</v>
      </c>
      <c r="F370" s="2" t="s">
        <v>26</v>
      </c>
      <c r="G370" s="4" t="s">
        <v>697</v>
      </c>
      <c r="H370" s="6">
        <v>14.99</v>
      </c>
      <c r="I370" s="4" t="str">
        <f t="shared" si="5"/>
        <v>N/A</v>
      </c>
      <c r="J370" s="2" t="s">
        <v>33</v>
      </c>
      <c r="K370" s="2" t="s">
        <v>129</v>
      </c>
      <c r="L370" s="2" t="s">
        <v>40</v>
      </c>
      <c r="M370" s="11" t="s">
        <v>697</v>
      </c>
    </row>
    <row r="371" spans="1:13" x14ac:dyDescent="0.25">
      <c r="A371" s="10">
        <v>1369</v>
      </c>
      <c r="B371" s="3">
        <v>45197</v>
      </c>
      <c r="C371" s="2" t="s">
        <v>77</v>
      </c>
      <c r="D371" s="2" t="s">
        <v>114</v>
      </c>
      <c r="E371" s="2" t="s">
        <v>44</v>
      </c>
      <c r="F371" s="2" t="s">
        <v>17</v>
      </c>
      <c r="G371" s="2">
        <v>2</v>
      </c>
      <c r="H371" s="6">
        <v>15.99</v>
      </c>
      <c r="I371" s="4">
        <f t="shared" si="5"/>
        <v>31.98</v>
      </c>
      <c r="J371" s="2" t="s">
        <v>33</v>
      </c>
      <c r="K371" s="2" t="s">
        <v>28</v>
      </c>
      <c r="L371" s="2" t="s">
        <v>29</v>
      </c>
      <c r="M371" s="11" t="s">
        <v>697</v>
      </c>
    </row>
    <row r="372" spans="1:13" x14ac:dyDescent="0.25">
      <c r="A372" s="10">
        <v>1370</v>
      </c>
      <c r="B372" s="3">
        <v>45265</v>
      </c>
      <c r="C372" s="2" t="s">
        <v>77</v>
      </c>
      <c r="D372" s="4" t="s">
        <v>697</v>
      </c>
      <c r="E372" s="2" t="s">
        <v>82</v>
      </c>
      <c r="F372" s="2" t="s">
        <v>60</v>
      </c>
      <c r="G372" s="2">
        <v>1</v>
      </c>
      <c r="H372" s="6">
        <v>4.99</v>
      </c>
      <c r="I372" s="4">
        <f t="shared" si="5"/>
        <v>4.99</v>
      </c>
      <c r="J372" s="2" t="s">
        <v>33</v>
      </c>
      <c r="K372" s="2" t="s">
        <v>34</v>
      </c>
      <c r="L372" s="2" t="s">
        <v>29</v>
      </c>
      <c r="M372" s="11" t="s">
        <v>697</v>
      </c>
    </row>
    <row r="373" spans="1:13" x14ac:dyDescent="0.25">
      <c r="A373" s="10">
        <v>1371</v>
      </c>
      <c r="B373" s="3">
        <v>45135</v>
      </c>
      <c r="C373" s="2" t="s">
        <v>65</v>
      </c>
      <c r="D373" s="2" t="s">
        <v>123</v>
      </c>
      <c r="E373" s="2" t="s">
        <v>52</v>
      </c>
      <c r="F373" s="2" t="s">
        <v>53</v>
      </c>
      <c r="G373" s="2">
        <v>3</v>
      </c>
      <c r="H373" s="6">
        <v>59.99</v>
      </c>
      <c r="I373" s="4">
        <f t="shared" si="5"/>
        <v>179.97</v>
      </c>
      <c r="J373" s="2" t="s">
        <v>54</v>
      </c>
      <c r="K373" s="2" t="s">
        <v>129</v>
      </c>
      <c r="L373" s="2" t="s">
        <v>35</v>
      </c>
      <c r="M373" s="11" t="s">
        <v>697</v>
      </c>
    </row>
    <row r="374" spans="1:13" x14ac:dyDescent="0.25">
      <c r="A374" s="10">
        <v>1372</v>
      </c>
      <c r="B374" s="5" t="s">
        <v>697</v>
      </c>
      <c r="C374" s="2" t="s">
        <v>65</v>
      </c>
      <c r="D374" s="2" t="s">
        <v>66</v>
      </c>
      <c r="E374" s="2" t="s">
        <v>82</v>
      </c>
      <c r="F374" s="2" t="s">
        <v>60</v>
      </c>
      <c r="G374" s="2">
        <v>2</v>
      </c>
      <c r="H374" s="6">
        <v>4.99</v>
      </c>
      <c r="I374" s="4">
        <f t="shared" si="5"/>
        <v>9.98</v>
      </c>
      <c r="J374" s="2" t="s">
        <v>33</v>
      </c>
      <c r="K374" s="2" t="s">
        <v>34</v>
      </c>
      <c r="L374" s="2" t="s">
        <v>35</v>
      </c>
      <c r="M374" s="11" t="s">
        <v>697</v>
      </c>
    </row>
    <row r="375" spans="1:13" x14ac:dyDescent="0.25">
      <c r="A375" s="10">
        <v>1373</v>
      </c>
      <c r="B375" s="3">
        <v>45349</v>
      </c>
      <c r="C375" s="2" t="s">
        <v>77</v>
      </c>
      <c r="D375" s="2" t="s">
        <v>114</v>
      </c>
      <c r="E375" s="2" t="s">
        <v>44</v>
      </c>
      <c r="F375" s="2" t="s">
        <v>17</v>
      </c>
      <c r="G375" s="4" t="s">
        <v>697</v>
      </c>
      <c r="H375" s="6">
        <v>15.99</v>
      </c>
      <c r="I375" s="4" t="str">
        <f t="shared" si="5"/>
        <v>N/A</v>
      </c>
      <c r="J375" s="2" t="s">
        <v>19</v>
      </c>
      <c r="K375" s="2" t="s">
        <v>28</v>
      </c>
      <c r="L375" s="2" t="s">
        <v>29</v>
      </c>
      <c r="M375" s="11" t="s">
        <v>697</v>
      </c>
    </row>
    <row r="376" spans="1:13" x14ac:dyDescent="0.25">
      <c r="A376" s="10">
        <v>1374</v>
      </c>
      <c r="B376" s="3">
        <v>44946</v>
      </c>
      <c r="C376" s="2" t="s">
        <v>14</v>
      </c>
      <c r="D376" s="2" t="s">
        <v>15</v>
      </c>
      <c r="E376" s="2" t="s">
        <v>31</v>
      </c>
      <c r="F376" s="2" t="s">
        <v>32</v>
      </c>
      <c r="G376" s="2">
        <v>1</v>
      </c>
      <c r="H376" s="6">
        <v>79.989999999999995</v>
      </c>
      <c r="I376" s="4">
        <f t="shared" si="5"/>
        <v>79.989999999999995</v>
      </c>
      <c r="J376" s="2" t="s">
        <v>33</v>
      </c>
      <c r="K376" s="2" t="s">
        <v>28</v>
      </c>
      <c r="L376" s="2" t="s">
        <v>35</v>
      </c>
      <c r="M376" s="11" t="s">
        <v>697</v>
      </c>
    </row>
    <row r="377" spans="1:13" x14ac:dyDescent="0.25">
      <c r="A377" s="10">
        <v>1375</v>
      </c>
      <c r="B377" s="3">
        <v>45277</v>
      </c>
      <c r="C377" s="2" t="s">
        <v>14</v>
      </c>
      <c r="D377" s="2" t="s">
        <v>75</v>
      </c>
      <c r="E377" s="2" t="s">
        <v>127</v>
      </c>
      <c r="F377" s="2" t="s">
        <v>73</v>
      </c>
      <c r="G377" s="2">
        <v>2</v>
      </c>
      <c r="H377" s="6">
        <v>29.99</v>
      </c>
      <c r="I377" s="4">
        <f t="shared" si="5"/>
        <v>59.98</v>
      </c>
      <c r="J377" s="2" t="s">
        <v>27</v>
      </c>
      <c r="K377" s="2" t="s">
        <v>129</v>
      </c>
      <c r="L377" s="2" t="s">
        <v>40</v>
      </c>
      <c r="M377" s="11" t="s">
        <v>697</v>
      </c>
    </row>
    <row r="378" spans="1:13" x14ac:dyDescent="0.25">
      <c r="A378" s="10">
        <v>1376</v>
      </c>
      <c r="B378" s="5" t="s">
        <v>697</v>
      </c>
      <c r="C378" s="2" t="s">
        <v>77</v>
      </c>
      <c r="D378" s="2" t="s">
        <v>78</v>
      </c>
      <c r="E378" s="2" t="s">
        <v>127</v>
      </c>
      <c r="F378" s="2" t="s">
        <v>73</v>
      </c>
      <c r="G378" s="2">
        <v>1</v>
      </c>
      <c r="H378" s="6">
        <v>29.99</v>
      </c>
      <c r="I378" s="4">
        <f t="shared" si="5"/>
        <v>29.99</v>
      </c>
      <c r="J378" s="2" t="s">
        <v>33</v>
      </c>
      <c r="K378" s="2" t="s">
        <v>55</v>
      </c>
      <c r="L378" s="2" t="s">
        <v>29</v>
      </c>
      <c r="M378" s="11" t="s">
        <v>697</v>
      </c>
    </row>
    <row r="379" spans="1:13" x14ac:dyDescent="0.25">
      <c r="A379" s="10">
        <v>1377</v>
      </c>
      <c r="B379" s="3">
        <v>45195</v>
      </c>
      <c r="C379" s="2" t="s">
        <v>42</v>
      </c>
      <c r="D379" s="2" t="s">
        <v>43</v>
      </c>
      <c r="E379" s="2" t="s">
        <v>52</v>
      </c>
      <c r="F379" s="2" t="s">
        <v>53</v>
      </c>
      <c r="G379" s="4" t="s">
        <v>697</v>
      </c>
      <c r="H379" s="6">
        <v>59.99</v>
      </c>
      <c r="I379" s="4" t="str">
        <f t="shared" si="5"/>
        <v>N/A</v>
      </c>
      <c r="J379" s="2" t="s">
        <v>33</v>
      </c>
      <c r="K379" s="2" t="s">
        <v>45</v>
      </c>
      <c r="L379" s="2" t="s">
        <v>40</v>
      </c>
      <c r="M379" s="11" t="s">
        <v>697</v>
      </c>
    </row>
    <row r="380" spans="1:13" x14ac:dyDescent="0.25">
      <c r="A380" s="10">
        <v>1378</v>
      </c>
      <c r="B380" s="3">
        <v>45069</v>
      </c>
      <c r="C380" s="2" t="s">
        <v>42</v>
      </c>
      <c r="D380" s="2" t="s">
        <v>48</v>
      </c>
      <c r="E380" s="2" t="s">
        <v>31</v>
      </c>
      <c r="F380" s="2" t="s">
        <v>32</v>
      </c>
      <c r="G380" s="2">
        <v>3</v>
      </c>
      <c r="H380" s="6">
        <v>79.989999999999995</v>
      </c>
      <c r="I380" s="4">
        <f t="shared" si="5"/>
        <v>239.96999999999997</v>
      </c>
      <c r="J380" s="2" t="s">
        <v>33</v>
      </c>
      <c r="K380" s="2" t="s">
        <v>55</v>
      </c>
      <c r="L380" s="2" t="s">
        <v>40</v>
      </c>
      <c r="M380" s="11" t="s">
        <v>697</v>
      </c>
    </row>
    <row r="381" spans="1:13" x14ac:dyDescent="0.25">
      <c r="A381" s="10">
        <v>1379</v>
      </c>
      <c r="B381" s="3">
        <v>45150</v>
      </c>
      <c r="C381" s="2" t="s">
        <v>65</v>
      </c>
      <c r="D381" s="2" t="s">
        <v>126</v>
      </c>
      <c r="E381" s="2" t="s">
        <v>52</v>
      </c>
      <c r="F381" s="2" t="s">
        <v>53</v>
      </c>
      <c r="G381" s="2">
        <v>1</v>
      </c>
      <c r="H381" s="6">
        <v>59.99</v>
      </c>
      <c r="I381" s="4">
        <f t="shared" si="5"/>
        <v>59.99</v>
      </c>
      <c r="J381" s="2" t="s">
        <v>27</v>
      </c>
      <c r="K381" s="2" t="s">
        <v>129</v>
      </c>
      <c r="L381" s="2" t="s">
        <v>35</v>
      </c>
      <c r="M381" s="11" t="s">
        <v>697</v>
      </c>
    </row>
    <row r="382" spans="1:13" x14ac:dyDescent="0.25">
      <c r="A382" s="10">
        <v>1380</v>
      </c>
      <c r="B382" s="5" t="s">
        <v>697</v>
      </c>
      <c r="C382" s="2" t="s">
        <v>42</v>
      </c>
      <c r="D382" s="2" t="s">
        <v>116</v>
      </c>
      <c r="E382" s="2" t="s">
        <v>82</v>
      </c>
      <c r="F382" s="2" t="s">
        <v>60</v>
      </c>
      <c r="G382" s="2">
        <v>1</v>
      </c>
      <c r="H382" s="6">
        <v>4.99</v>
      </c>
      <c r="I382" s="4">
        <f t="shared" si="5"/>
        <v>4.99</v>
      </c>
      <c r="J382" s="2" t="s">
        <v>33</v>
      </c>
      <c r="K382" s="2" t="s">
        <v>55</v>
      </c>
      <c r="L382" s="2" t="s">
        <v>35</v>
      </c>
      <c r="M382" s="11" t="s">
        <v>697</v>
      </c>
    </row>
    <row r="383" spans="1:13" x14ac:dyDescent="0.25">
      <c r="A383" s="10">
        <v>1381</v>
      </c>
      <c r="B383" s="3">
        <v>45082</v>
      </c>
      <c r="C383" s="2" t="s">
        <v>14</v>
      </c>
      <c r="D383" s="2" t="s">
        <v>84</v>
      </c>
      <c r="E383" s="2" t="s">
        <v>72</v>
      </c>
      <c r="F383" s="2" t="s">
        <v>73</v>
      </c>
      <c r="G383" s="2">
        <v>4</v>
      </c>
      <c r="H383" s="6">
        <v>49.99</v>
      </c>
      <c r="I383" s="4">
        <f t="shared" si="5"/>
        <v>199.96</v>
      </c>
      <c r="J383" s="2" t="s">
        <v>33</v>
      </c>
      <c r="K383" s="2" t="s">
        <v>129</v>
      </c>
      <c r="L383" s="2" t="s">
        <v>29</v>
      </c>
      <c r="M383" s="11" t="s">
        <v>697</v>
      </c>
    </row>
    <row r="384" spans="1:13" x14ac:dyDescent="0.25">
      <c r="A384" s="10">
        <v>1382</v>
      </c>
      <c r="B384" s="5" t="s">
        <v>697</v>
      </c>
      <c r="C384" s="2" t="s">
        <v>42</v>
      </c>
      <c r="D384" s="2" t="s">
        <v>116</v>
      </c>
      <c r="E384" s="2" t="s">
        <v>92</v>
      </c>
      <c r="F384" s="2" t="s">
        <v>26</v>
      </c>
      <c r="G384" s="2">
        <v>5</v>
      </c>
      <c r="H384" s="6">
        <v>14.99</v>
      </c>
      <c r="I384" s="4">
        <f t="shared" si="5"/>
        <v>74.95</v>
      </c>
      <c r="J384" s="2" t="s">
        <v>27</v>
      </c>
      <c r="K384" s="2" t="s">
        <v>28</v>
      </c>
      <c r="L384" s="2" t="s">
        <v>40</v>
      </c>
      <c r="M384" s="11" t="s">
        <v>697</v>
      </c>
    </row>
    <row r="385" spans="1:13" x14ac:dyDescent="0.25">
      <c r="A385" s="10">
        <v>1383</v>
      </c>
      <c r="B385" s="3">
        <v>45349</v>
      </c>
      <c r="C385" s="2" t="s">
        <v>77</v>
      </c>
      <c r="D385" s="2" t="s">
        <v>78</v>
      </c>
      <c r="E385" s="2" t="s">
        <v>85</v>
      </c>
      <c r="F385" s="2" t="s">
        <v>26</v>
      </c>
      <c r="G385" s="2">
        <v>1</v>
      </c>
      <c r="H385" s="6">
        <v>99.99</v>
      </c>
      <c r="I385" s="4">
        <f t="shared" si="5"/>
        <v>99.99</v>
      </c>
      <c r="J385" s="2" t="s">
        <v>27</v>
      </c>
      <c r="K385" s="2" t="s">
        <v>45</v>
      </c>
      <c r="L385" s="2" t="s">
        <v>35</v>
      </c>
      <c r="M385" s="11" t="s">
        <v>697</v>
      </c>
    </row>
    <row r="386" spans="1:13" x14ac:dyDescent="0.25">
      <c r="A386" s="10">
        <v>1384</v>
      </c>
      <c r="B386" s="3">
        <v>45032</v>
      </c>
      <c r="C386" s="2" t="s">
        <v>77</v>
      </c>
      <c r="D386" s="2" t="s">
        <v>91</v>
      </c>
      <c r="E386" s="2" t="s">
        <v>39</v>
      </c>
      <c r="F386" s="2" t="s">
        <v>17</v>
      </c>
      <c r="G386" s="2">
        <v>5</v>
      </c>
      <c r="H386" s="6">
        <v>39.99</v>
      </c>
      <c r="I386" s="4">
        <f t="shared" si="5"/>
        <v>199.95000000000002</v>
      </c>
      <c r="J386" s="2" t="s">
        <v>33</v>
      </c>
      <c r="K386" s="2" t="s">
        <v>129</v>
      </c>
      <c r="L386" s="2" t="s">
        <v>35</v>
      </c>
      <c r="M386" s="11" t="s">
        <v>697</v>
      </c>
    </row>
    <row r="387" spans="1:13" x14ac:dyDescent="0.25">
      <c r="A387" s="10">
        <v>1385</v>
      </c>
      <c r="B387" s="3">
        <v>45223</v>
      </c>
      <c r="C387" s="2" t="s">
        <v>65</v>
      </c>
      <c r="D387" s="2" t="s">
        <v>123</v>
      </c>
      <c r="E387" s="2" t="s">
        <v>85</v>
      </c>
      <c r="F387" s="2" t="s">
        <v>26</v>
      </c>
      <c r="G387" s="2">
        <v>1</v>
      </c>
      <c r="H387" s="6">
        <v>99.99</v>
      </c>
      <c r="I387" s="4">
        <f t="shared" ref="I387:I450" si="6">IF(G387="N/A","N/A",PRODUCT(G387,H387))</f>
        <v>99.99</v>
      </c>
      <c r="J387" s="2" t="s">
        <v>33</v>
      </c>
      <c r="K387" s="2" t="s">
        <v>45</v>
      </c>
      <c r="L387" s="2" t="s">
        <v>35</v>
      </c>
      <c r="M387" s="11" t="s">
        <v>697</v>
      </c>
    </row>
    <row r="388" spans="1:13" x14ac:dyDescent="0.25">
      <c r="A388" s="10">
        <v>1386</v>
      </c>
      <c r="B388" s="3">
        <v>45372</v>
      </c>
      <c r="C388" s="2" t="s">
        <v>37</v>
      </c>
      <c r="D388" s="2" t="s">
        <v>38</v>
      </c>
      <c r="E388" s="2" t="s">
        <v>85</v>
      </c>
      <c r="F388" s="2" t="s">
        <v>26</v>
      </c>
      <c r="G388" s="2">
        <v>4</v>
      </c>
      <c r="H388" s="6">
        <v>99.99</v>
      </c>
      <c r="I388" s="4">
        <f t="shared" si="6"/>
        <v>399.96</v>
      </c>
      <c r="J388" s="2" t="s">
        <v>33</v>
      </c>
      <c r="K388" s="2" t="s">
        <v>55</v>
      </c>
      <c r="L388" s="2" t="s">
        <v>29</v>
      </c>
      <c r="M388" s="11" t="s">
        <v>697</v>
      </c>
    </row>
    <row r="389" spans="1:13" x14ac:dyDescent="0.25">
      <c r="A389" s="10">
        <v>1387</v>
      </c>
      <c r="B389" s="3">
        <v>45404</v>
      </c>
      <c r="C389" s="2" t="s">
        <v>70</v>
      </c>
      <c r="D389" s="2" t="s">
        <v>88</v>
      </c>
      <c r="E389" s="2" t="s">
        <v>85</v>
      </c>
      <c r="F389" s="2" t="s">
        <v>26</v>
      </c>
      <c r="G389" s="4" t="s">
        <v>697</v>
      </c>
      <c r="H389" s="6">
        <v>99.99</v>
      </c>
      <c r="I389" s="4" t="str">
        <f t="shared" si="6"/>
        <v>N/A</v>
      </c>
      <c r="J389" s="2" t="s">
        <v>54</v>
      </c>
      <c r="K389" s="2" t="s">
        <v>45</v>
      </c>
      <c r="L389" s="2" t="s">
        <v>35</v>
      </c>
      <c r="M389" s="11" t="s">
        <v>697</v>
      </c>
    </row>
    <row r="390" spans="1:13" x14ac:dyDescent="0.25">
      <c r="A390" s="10">
        <v>1388</v>
      </c>
      <c r="B390" s="3">
        <v>45371</v>
      </c>
      <c r="C390" s="2" t="s">
        <v>23</v>
      </c>
      <c r="D390" s="2" t="s">
        <v>124</v>
      </c>
      <c r="E390" s="2" t="s">
        <v>85</v>
      </c>
      <c r="F390" s="2" t="s">
        <v>26</v>
      </c>
      <c r="G390" s="2">
        <v>1</v>
      </c>
      <c r="H390" s="6">
        <v>99.99</v>
      </c>
      <c r="I390" s="4">
        <f t="shared" si="6"/>
        <v>99.99</v>
      </c>
      <c r="J390" s="2" t="s">
        <v>33</v>
      </c>
      <c r="K390" s="2" t="s">
        <v>55</v>
      </c>
      <c r="L390" s="2" t="s">
        <v>40</v>
      </c>
      <c r="M390" s="11" t="s">
        <v>697</v>
      </c>
    </row>
    <row r="391" spans="1:13" x14ac:dyDescent="0.25">
      <c r="A391" s="10">
        <v>1389</v>
      </c>
      <c r="B391" s="3">
        <v>44951</v>
      </c>
      <c r="C391" s="2" t="s">
        <v>65</v>
      </c>
      <c r="D391" s="2" t="s">
        <v>126</v>
      </c>
      <c r="E391" s="2" t="s">
        <v>39</v>
      </c>
      <c r="F391" s="2" t="s">
        <v>17</v>
      </c>
      <c r="G391" s="2">
        <v>1</v>
      </c>
      <c r="H391" s="6">
        <v>39.99</v>
      </c>
      <c r="I391" s="4">
        <f t="shared" si="6"/>
        <v>39.99</v>
      </c>
      <c r="J391" s="2" t="s">
        <v>54</v>
      </c>
      <c r="K391" s="2" t="s">
        <v>28</v>
      </c>
      <c r="L391" s="2" t="s">
        <v>35</v>
      </c>
      <c r="M391" s="11" t="s">
        <v>697</v>
      </c>
    </row>
    <row r="392" spans="1:13" x14ac:dyDescent="0.25">
      <c r="A392" s="10">
        <v>1390</v>
      </c>
      <c r="B392" s="5" t="s">
        <v>697</v>
      </c>
      <c r="C392" s="2" t="s">
        <v>37</v>
      </c>
      <c r="D392" s="2" t="s">
        <v>162</v>
      </c>
      <c r="E392" s="2" t="s">
        <v>39</v>
      </c>
      <c r="F392" s="2" t="s">
        <v>17</v>
      </c>
      <c r="G392" s="2">
        <v>4</v>
      </c>
      <c r="H392" s="6">
        <v>39.99</v>
      </c>
      <c r="I392" s="4">
        <f t="shared" si="6"/>
        <v>159.96</v>
      </c>
      <c r="J392" s="2" t="s">
        <v>33</v>
      </c>
      <c r="K392" s="2" t="s">
        <v>28</v>
      </c>
      <c r="L392" s="2" t="s">
        <v>29</v>
      </c>
      <c r="M392" s="11" t="s">
        <v>697</v>
      </c>
    </row>
    <row r="393" spans="1:13" x14ac:dyDescent="0.25">
      <c r="A393" s="10">
        <v>1391</v>
      </c>
      <c r="B393" s="5" t="s">
        <v>697</v>
      </c>
      <c r="C393" s="2" t="s">
        <v>37</v>
      </c>
      <c r="D393" s="2" t="s">
        <v>38</v>
      </c>
      <c r="E393" s="2" t="s">
        <v>44</v>
      </c>
      <c r="F393" s="2" t="s">
        <v>17</v>
      </c>
      <c r="G393" s="4" t="s">
        <v>697</v>
      </c>
      <c r="H393" s="6">
        <v>15.99</v>
      </c>
      <c r="I393" s="4" t="str">
        <f t="shared" si="6"/>
        <v>N/A</v>
      </c>
      <c r="J393" s="2" t="s">
        <v>33</v>
      </c>
      <c r="K393" s="2" t="s">
        <v>45</v>
      </c>
      <c r="L393" s="2" t="s">
        <v>29</v>
      </c>
      <c r="M393" s="12" t="s">
        <v>63</v>
      </c>
    </row>
    <row r="394" spans="1:13" x14ac:dyDescent="0.25">
      <c r="A394" s="10">
        <v>1392</v>
      </c>
      <c r="B394" s="3">
        <v>45149</v>
      </c>
      <c r="C394" s="2" t="s">
        <v>37</v>
      </c>
      <c r="D394" s="2" t="s">
        <v>38</v>
      </c>
      <c r="E394" s="2" t="s">
        <v>72</v>
      </c>
      <c r="F394" s="2" t="s">
        <v>73</v>
      </c>
      <c r="G394" s="2">
        <v>4</v>
      </c>
      <c r="H394" s="6">
        <v>49.99</v>
      </c>
      <c r="I394" s="4">
        <f t="shared" si="6"/>
        <v>199.96</v>
      </c>
      <c r="J394" s="2" t="s">
        <v>27</v>
      </c>
      <c r="K394" s="2" t="s">
        <v>28</v>
      </c>
      <c r="L394" s="2" t="s">
        <v>35</v>
      </c>
      <c r="M394" s="11" t="s">
        <v>697</v>
      </c>
    </row>
    <row r="395" spans="1:13" x14ac:dyDescent="0.25">
      <c r="A395" s="10">
        <v>1393</v>
      </c>
      <c r="B395" s="5" t="s">
        <v>697</v>
      </c>
      <c r="C395" s="2" t="s">
        <v>42</v>
      </c>
      <c r="D395" s="2" t="s">
        <v>48</v>
      </c>
      <c r="E395" s="2" t="s">
        <v>44</v>
      </c>
      <c r="F395" s="2" t="s">
        <v>17</v>
      </c>
      <c r="G395" s="2">
        <v>1</v>
      </c>
      <c r="H395" s="6">
        <v>15.99</v>
      </c>
      <c r="I395" s="4">
        <f t="shared" si="6"/>
        <v>15.99</v>
      </c>
      <c r="J395" s="2" t="s">
        <v>33</v>
      </c>
      <c r="K395" s="2" t="s">
        <v>34</v>
      </c>
      <c r="L395" s="2" t="s">
        <v>40</v>
      </c>
      <c r="M395" s="11" t="s">
        <v>697</v>
      </c>
    </row>
    <row r="396" spans="1:13" x14ac:dyDescent="0.25">
      <c r="A396" s="10">
        <v>1394</v>
      </c>
      <c r="B396" s="3">
        <v>45407</v>
      </c>
      <c r="C396" s="2" t="s">
        <v>42</v>
      </c>
      <c r="D396" s="2" t="s">
        <v>48</v>
      </c>
      <c r="E396" s="2" t="s">
        <v>82</v>
      </c>
      <c r="F396" s="2" t="s">
        <v>60</v>
      </c>
      <c r="G396" s="2">
        <v>1</v>
      </c>
      <c r="H396" s="6">
        <v>4.99</v>
      </c>
      <c r="I396" s="4">
        <f t="shared" si="6"/>
        <v>4.99</v>
      </c>
      <c r="J396" s="2" t="s">
        <v>27</v>
      </c>
      <c r="K396" s="2" t="s">
        <v>34</v>
      </c>
      <c r="L396" s="2" t="s">
        <v>35</v>
      </c>
      <c r="M396" s="11" t="s">
        <v>697</v>
      </c>
    </row>
    <row r="397" spans="1:13" x14ac:dyDescent="0.25">
      <c r="A397" s="10">
        <v>1395</v>
      </c>
      <c r="B397" s="5" t="s">
        <v>697</v>
      </c>
      <c r="C397" s="2" t="s">
        <v>65</v>
      </c>
      <c r="D397" s="2" t="s">
        <v>126</v>
      </c>
      <c r="E397" s="2" t="s">
        <v>39</v>
      </c>
      <c r="F397" s="2" t="s">
        <v>17</v>
      </c>
      <c r="G397" s="2">
        <v>2</v>
      </c>
      <c r="H397" s="6">
        <v>39.99</v>
      </c>
      <c r="I397" s="4">
        <f t="shared" si="6"/>
        <v>79.98</v>
      </c>
      <c r="J397" s="2" t="s">
        <v>27</v>
      </c>
      <c r="K397" s="2" t="s">
        <v>34</v>
      </c>
      <c r="L397" s="2" t="s">
        <v>40</v>
      </c>
      <c r="M397" s="11" t="s">
        <v>697</v>
      </c>
    </row>
    <row r="398" spans="1:13" x14ac:dyDescent="0.25">
      <c r="A398" s="10">
        <v>1396</v>
      </c>
      <c r="B398" s="3">
        <v>45423</v>
      </c>
      <c r="C398" s="2" t="s">
        <v>14</v>
      </c>
      <c r="D398" s="2" t="s">
        <v>84</v>
      </c>
      <c r="E398" s="2" t="s">
        <v>127</v>
      </c>
      <c r="F398" s="2" t="s">
        <v>73</v>
      </c>
      <c r="G398" s="2">
        <v>1</v>
      </c>
      <c r="H398" s="6">
        <v>29.99</v>
      </c>
      <c r="I398" s="4">
        <f t="shared" si="6"/>
        <v>29.99</v>
      </c>
      <c r="J398" s="2" t="s">
        <v>33</v>
      </c>
      <c r="K398" s="2" t="s">
        <v>28</v>
      </c>
      <c r="L398" s="2" t="s">
        <v>40</v>
      </c>
      <c r="M398" s="11" t="s">
        <v>697</v>
      </c>
    </row>
    <row r="399" spans="1:13" x14ac:dyDescent="0.25">
      <c r="A399" s="10">
        <v>1397</v>
      </c>
      <c r="B399" s="5" t="s">
        <v>697</v>
      </c>
      <c r="C399" s="2" t="s">
        <v>77</v>
      </c>
      <c r="D399" s="2" t="s">
        <v>91</v>
      </c>
      <c r="E399" s="2" t="s">
        <v>31</v>
      </c>
      <c r="F399" s="2" t="s">
        <v>32</v>
      </c>
      <c r="G399" s="2">
        <v>1</v>
      </c>
      <c r="H399" s="6">
        <v>79.989999999999995</v>
      </c>
      <c r="I399" s="4">
        <f t="shared" si="6"/>
        <v>79.989999999999995</v>
      </c>
      <c r="J399" s="2" t="s">
        <v>19</v>
      </c>
      <c r="K399" s="2" t="s">
        <v>129</v>
      </c>
      <c r="L399" s="2" t="s">
        <v>35</v>
      </c>
      <c r="M399" s="11" t="s">
        <v>697</v>
      </c>
    </row>
    <row r="400" spans="1:13" x14ac:dyDescent="0.25">
      <c r="A400" s="10">
        <v>1398</v>
      </c>
      <c r="B400" s="5" t="s">
        <v>697</v>
      </c>
      <c r="C400" s="2" t="s">
        <v>42</v>
      </c>
      <c r="D400" s="2" t="s">
        <v>43</v>
      </c>
      <c r="E400" s="2" t="s">
        <v>52</v>
      </c>
      <c r="F400" s="2" t="s">
        <v>53</v>
      </c>
      <c r="G400" s="2">
        <v>3</v>
      </c>
      <c r="H400" s="6">
        <v>59.99</v>
      </c>
      <c r="I400" s="4">
        <f t="shared" si="6"/>
        <v>179.97</v>
      </c>
      <c r="J400" s="2" t="s">
        <v>33</v>
      </c>
      <c r="K400" s="2" t="s">
        <v>28</v>
      </c>
      <c r="L400" s="2" t="s">
        <v>35</v>
      </c>
      <c r="M400" s="11" t="s">
        <v>697</v>
      </c>
    </row>
    <row r="401" spans="1:13" x14ac:dyDescent="0.25">
      <c r="A401" s="10">
        <v>1399</v>
      </c>
      <c r="B401" s="3">
        <v>45363</v>
      </c>
      <c r="C401" s="2" t="s">
        <v>70</v>
      </c>
      <c r="D401" s="2" t="s">
        <v>131</v>
      </c>
      <c r="E401" s="2" t="s">
        <v>82</v>
      </c>
      <c r="F401" s="2" t="s">
        <v>60</v>
      </c>
      <c r="G401" s="2">
        <v>3</v>
      </c>
      <c r="H401" s="6">
        <v>4.99</v>
      </c>
      <c r="I401" s="4">
        <f t="shared" si="6"/>
        <v>14.97</v>
      </c>
      <c r="J401" s="2" t="s">
        <v>19</v>
      </c>
      <c r="K401" s="2" t="s">
        <v>45</v>
      </c>
      <c r="L401" s="2" t="s">
        <v>35</v>
      </c>
      <c r="M401" s="11" t="s">
        <v>697</v>
      </c>
    </row>
    <row r="402" spans="1:13" x14ac:dyDescent="0.25">
      <c r="A402" s="10">
        <v>1400</v>
      </c>
      <c r="B402" s="3">
        <v>45014</v>
      </c>
      <c r="C402" s="2" t="s">
        <v>37</v>
      </c>
      <c r="D402" s="2" t="s">
        <v>162</v>
      </c>
      <c r="E402" s="2" t="s">
        <v>52</v>
      </c>
      <c r="F402" s="2" t="s">
        <v>53</v>
      </c>
      <c r="G402" s="2">
        <v>1</v>
      </c>
      <c r="H402" s="6">
        <v>59.99</v>
      </c>
      <c r="I402" s="4">
        <f t="shared" si="6"/>
        <v>59.99</v>
      </c>
      <c r="J402" s="2" t="s">
        <v>19</v>
      </c>
      <c r="K402" s="2" t="s">
        <v>55</v>
      </c>
      <c r="L402" s="2" t="s">
        <v>35</v>
      </c>
      <c r="M402" s="11" t="s">
        <v>697</v>
      </c>
    </row>
    <row r="403" spans="1:13" x14ac:dyDescent="0.25">
      <c r="A403" s="10">
        <v>1401</v>
      </c>
      <c r="B403" s="3">
        <v>45101</v>
      </c>
      <c r="C403" s="2" t="s">
        <v>23</v>
      </c>
      <c r="D403" s="2" t="s">
        <v>124</v>
      </c>
      <c r="E403" s="2" t="s">
        <v>52</v>
      </c>
      <c r="F403" s="2" t="s">
        <v>53</v>
      </c>
      <c r="G403" s="2">
        <v>5</v>
      </c>
      <c r="H403" s="6">
        <v>59.99</v>
      </c>
      <c r="I403" s="4">
        <f t="shared" si="6"/>
        <v>299.95</v>
      </c>
      <c r="J403" s="2" t="s">
        <v>27</v>
      </c>
      <c r="K403" s="2" t="s">
        <v>45</v>
      </c>
      <c r="L403" s="2" t="s">
        <v>29</v>
      </c>
      <c r="M403" s="11" t="s">
        <v>697</v>
      </c>
    </row>
    <row r="404" spans="1:13" x14ac:dyDescent="0.25">
      <c r="A404" s="10">
        <v>1402</v>
      </c>
      <c r="B404" s="3">
        <v>45420</v>
      </c>
      <c r="C404" s="2" t="s">
        <v>37</v>
      </c>
      <c r="D404" s="2" t="s">
        <v>162</v>
      </c>
      <c r="E404" s="2" t="s">
        <v>72</v>
      </c>
      <c r="F404" s="2" t="s">
        <v>73</v>
      </c>
      <c r="G404" s="4" t="s">
        <v>697</v>
      </c>
      <c r="H404" s="6">
        <v>49.99</v>
      </c>
      <c r="I404" s="4" t="str">
        <f t="shared" si="6"/>
        <v>N/A</v>
      </c>
      <c r="J404" s="2" t="s">
        <v>19</v>
      </c>
      <c r="K404" s="2" t="s">
        <v>45</v>
      </c>
      <c r="L404" s="2" t="s">
        <v>35</v>
      </c>
      <c r="M404" s="11" t="s">
        <v>697</v>
      </c>
    </row>
    <row r="405" spans="1:13" x14ac:dyDescent="0.25">
      <c r="A405" s="10">
        <v>1403</v>
      </c>
      <c r="B405" s="3">
        <v>45106</v>
      </c>
      <c r="C405" s="2" t="s">
        <v>23</v>
      </c>
      <c r="D405" s="2" t="s">
        <v>81</v>
      </c>
      <c r="E405" s="2" t="s">
        <v>39</v>
      </c>
      <c r="F405" s="2" t="s">
        <v>17</v>
      </c>
      <c r="G405" s="2">
        <v>4</v>
      </c>
      <c r="H405" s="6">
        <v>39.99</v>
      </c>
      <c r="I405" s="4">
        <f t="shared" si="6"/>
        <v>159.96</v>
      </c>
      <c r="J405" s="2" t="s">
        <v>33</v>
      </c>
      <c r="K405" s="2" t="s">
        <v>34</v>
      </c>
      <c r="L405" s="2" t="s">
        <v>29</v>
      </c>
      <c r="M405" s="11" t="s">
        <v>697</v>
      </c>
    </row>
    <row r="406" spans="1:13" x14ac:dyDescent="0.25">
      <c r="A406" s="10">
        <v>1404</v>
      </c>
      <c r="B406" s="3">
        <v>45367</v>
      </c>
      <c r="C406" s="2" t="s">
        <v>23</v>
      </c>
      <c r="D406" s="2" t="s">
        <v>24</v>
      </c>
      <c r="E406" s="2" t="s">
        <v>85</v>
      </c>
      <c r="F406" s="2" t="s">
        <v>26</v>
      </c>
      <c r="G406" s="2">
        <v>1</v>
      </c>
      <c r="H406" s="6">
        <v>99.99</v>
      </c>
      <c r="I406" s="4">
        <f t="shared" si="6"/>
        <v>99.99</v>
      </c>
      <c r="J406" s="2" t="s">
        <v>33</v>
      </c>
      <c r="K406" s="2" t="s">
        <v>55</v>
      </c>
      <c r="L406" s="2" t="s">
        <v>35</v>
      </c>
      <c r="M406" s="11" t="s">
        <v>697</v>
      </c>
    </row>
    <row r="407" spans="1:13" x14ac:dyDescent="0.25">
      <c r="A407" s="10">
        <v>1405</v>
      </c>
      <c r="B407" s="3">
        <v>45260</v>
      </c>
      <c r="C407" s="2" t="s">
        <v>14</v>
      </c>
      <c r="D407" s="2" t="s">
        <v>75</v>
      </c>
      <c r="E407" s="2" t="s">
        <v>52</v>
      </c>
      <c r="F407" s="2" t="s">
        <v>53</v>
      </c>
      <c r="G407" s="4" t="s">
        <v>697</v>
      </c>
      <c r="H407" s="6">
        <v>59.99</v>
      </c>
      <c r="I407" s="4" t="str">
        <f t="shared" si="6"/>
        <v>N/A</v>
      </c>
      <c r="J407" s="2" t="s">
        <v>54</v>
      </c>
      <c r="K407" s="2" t="s">
        <v>28</v>
      </c>
      <c r="L407" s="2" t="s">
        <v>35</v>
      </c>
      <c r="M407" s="11" t="s">
        <v>697</v>
      </c>
    </row>
    <row r="408" spans="1:13" x14ac:dyDescent="0.25">
      <c r="A408" s="10">
        <v>1406</v>
      </c>
      <c r="B408" s="3">
        <v>45170</v>
      </c>
      <c r="C408" s="2" t="s">
        <v>23</v>
      </c>
      <c r="D408" s="2" t="s">
        <v>124</v>
      </c>
      <c r="E408" s="2" t="s">
        <v>82</v>
      </c>
      <c r="F408" s="2" t="s">
        <v>60</v>
      </c>
      <c r="G408" s="4" t="s">
        <v>697</v>
      </c>
      <c r="H408" s="6">
        <v>4.99</v>
      </c>
      <c r="I408" s="4" t="str">
        <f t="shared" si="6"/>
        <v>N/A</v>
      </c>
      <c r="J408" s="2" t="s">
        <v>33</v>
      </c>
      <c r="K408" s="2" t="s">
        <v>28</v>
      </c>
      <c r="L408" s="2" t="s">
        <v>29</v>
      </c>
      <c r="M408" s="11" t="s">
        <v>697</v>
      </c>
    </row>
    <row r="409" spans="1:13" x14ac:dyDescent="0.25">
      <c r="A409" s="10">
        <v>1407</v>
      </c>
      <c r="B409" s="5" t="s">
        <v>697</v>
      </c>
      <c r="C409" s="2" t="s">
        <v>14</v>
      </c>
      <c r="D409" s="2" t="s">
        <v>75</v>
      </c>
      <c r="E409" s="2" t="s">
        <v>52</v>
      </c>
      <c r="F409" s="2" t="s">
        <v>53</v>
      </c>
      <c r="G409" s="4" t="s">
        <v>697</v>
      </c>
      <c r="H409" s="6">
        <v>59.99</v>
      </c>
      <c r="I409" s="4" t="str">
        <f t="shared" si="6"/>
        <v>N/A</v>
      </c>
      <c r="J409" s="2" t="s">
        <v>33</v>
      </c>
      <c r="K409" s="2" t="s">
        <v>28</v>
      </c>
      <c r="L409" s="2" t="s">
        <v>29</v>
      </c>
      <c r="M409" s="11" t="s">
        <v>697</v>
      </c>
    </row>
    <row r="410" spans="1:13" x14ac:dyDescent="0.25">
      <c r="A410" s="10">
        <v>1408</v>
      </c>
      <c r="B410" s="3">
        <v>45001</v>
      </c>
      <c r="C410" s="2" t="s">
        <v>23</v>
      </c>
      <c r="D410" s="2" t="s">
        <v>124</v>
      </c>
      <c r="E410" s="2" t="s">
        <v>52</v>
      </c>
      <c r="F410" s="2" t="s">
        <v>53</v>
      </c>
      <c r="G410" s="4" t="s">
        <v>697</v>
      </c>
      <c r="H410" s="6">
        <v>59.99</v>
      </c>
      <c r="I410" s="4" t="str">
        <f t="shared" si="6"/>
        <v>N/A</v>
      </c>
      <c r="J410" s="2" t="s">
        <v>33</v>
      </c>
      <c r="K410" s="2" t="s">
        <v>28</v>
      </c>
      <c r="L410" s="2" t="s">
        <v>29</v>
      </c>
      <c r="M410" s="11" t="s">
        <v>697</v>
      </c>
    </row>
    <row r="411" spans="1:13" x14ac:dyDescent="0.25">
      <c r="A411" s="10">
        <v>1409</v>
      </c>
      <c r="B411" s="5" t="s">
        <v>697</v>
      </c>
      <c r="C411" s="2" t="s">
        <v>697</v>
      </c>
      <c r="D411" s="2" t="s">
        <v>126</v>
      </c>
      <c r="E411" s="2" t="s">
        <v>82</v>
      </c>
      <c r="F411" s="2" t="s">
        <v>60</v>
      </c>
      <c r="G411" s="2">
        <v>5</v>
      </c>
      <c r="H411" s="6">
        <v>4.99</v>
      </c>
      <c r="I411" s="4">
        <f t="shared" si="6"/>
        <v>24.950000000000003</v>
      </c>
      <c r="J411" s="2" t="s">
        <v>33</v>
      </c>
      <c r="K411" s="2" t="s">
        <v>45</v>
      </c>
      <c r="L411" s="2" t="s">
        <v>35</v>
      </c>
      <c r="M411" s="11" t="s">
        <v>697</v>
      </c>
    </row>
    <row r="412" spans="1:13" x14ac:dyDescent="0.25">
      <c r="A412" s="10">
        <v>1410</v>
      </c>
      <c r="B412" s="3">
        <v>45418</v>
      </c>
      <c r="C412" s="2" t="s">
        <v>70</v>
      </c>
      <c r="D412" s="2" t="s">
        <v>131</v>
      </c>
      <c r="E412" s="2" t="s">
        <v>92</v>
      </c>
      <c r="F412" s="2" t="s">
        <v>26</v>
      </c>
      <c r="G412" s="2">
        <v>2</v>
      </c>
      <c r="H412" s="6">
        <v>14.99</v>
      </c>
      <c r="I412" s="4">
        <f t="shared" si="6"/>
        <v>29.98</v>
      </c>
      <c r="J412" s="2" t="s">
        <v>33</v>
      </c>
      <c r="K412" s="2" t="s">
        <v>45</v>
      </c>
      <c r="L412" s="2" t="s">
        <v>35</v>
      </c>
      <c r="M412" s="11" t="s">
        <v>697</v>
      </c>
    </row>
    <row r="413" spans="1:13" x14ac:dyDescent="0.25">
      <c r="A413" s="10">
        <v>1411</v>
      </c>
      <c r="B413" s="3">
        <v>45036</v>
      </c>
      <c r="C413" s="2" t="s">
        <v>14</v>
      </c>
      <c r="D413" s="2" t="s">
        <v>84</v>
      </c>
      <c r="E413" s="2" t="s">
        <v>127</v>
      </c>
      <c r="F413" s="2" t="s">
        <v>73</v>
      </c>
      <c r="G413" s="2">
        <v>5</v>
      </c>
      <c r="H413" s="6">
        <v>29.99</v>
      </c>
      <c r="I413" s="4">
        <f t="shared" si="6"/>
        <v>149.94999999999999</v>
      </c>
      <c r="J413" s="2" t="s">
        <v>33</v>
      </c>
      <c r="K413" s="2" t="s">
        <v>45</v>
      </c>
      <c r="L413" s="2" t="s">
        <v>35</v>
      </c>
      <c r="M413" s="11" t="s">
        <v>697</v>
      </c>
    </row>
    <row r="414" spans="1:13" x14ac:dyDescent="0.25">
      <c r="A414" s="10">
        <v>1412</v>
      </c>
      <c r="B414" s="5" t="s">
        <v>697</v>
      </c>
      <c r="C414" s="2" t="s">
        <v>77</v>
      </c>
      <c r="D414" s="2" t="s">
        <v>91</v>
      </c>
      <c r="E414" s="2" t="s">
        <v>39</v>
      </c>
      <c r="F414" s="2" t="s">
        <v>17</v>
      </c>
      <c r="G414" s="4" t="s">
        <v>697</v>
      </c>
      <c r="H414" s="6">
        <v>39.99</v>
      </c>
      <c r="I414" s="4" t="str">
        <f t="shared" si="6"/>
        <v>N/A</v>
      </c>
      <c r="J414" s="2" t="s">
        <v>33</v>
      </c>
      <c r="K414" s="2" t="s">
        <v>45</v>
      </c>
      <c r="L414" s="2" t="s">
        <v>35</v>
      </c>
      <c r="M414" s="11" t="s">
        <v>697</v>
      </c>
    </row>
    <row r="415" spans="1:13" x14ac:dyDescent="0.25">
      <c r="A415" s="10">
        <v>1413</v>
      </c>
      <c r="B415" s="3">
        <v>45211</v>
      </c>
      <c r="C415" s="2" t="s">
        <v>77</v>
      </c>
      <c r="D415" s="4" t="s">
        <v>697</v>
      </c>
      <c r="E415" s="2" t="s">
        <v>85</v>
      </c>
      <c r="F415" s="2" t="s">
        <v>26</v>
      </c>
      <c r="G415" s="2">
        <v>4</v>
      </c>
      <c r="H415" s="6">
        <v>99.99</v>
      </c>
      <c r="I415" s="4">
        <f t="shared" si="6"/>
        <v>399.96</v>
      </c>
      <c r="J415" s="2" t="s">
        <v>33</v>
      </c>
      <c r="K415" s="2" t="s">
        <v>45</v>
      </c>
      <c r="L415" s="2" t="s">
        <v>35</v>
      </c>
      <c r="M415" s="11" t="s">
        <v>697</v>
      </c>
    </row>
    <row r="416" spans="1:13" x14ac:dyDescent="0.25">
      <c r="A416" s="10">
        <v>1414</v>
      </c>
      <c r="B416" s="5" t="s">
        <v>697</v>
      </c>
      <c r="C416" s="2" t="s">
        <v>37</v>
      </c>
      <c r="D416" s="2" t="s">
        <v>38</v>
      </c>
      <c r="E416" s="2" t="s">
        <v>92</v>
      </c>
      <c r="F416" s="2" t="s">
        <v>26</v>
      </c>
      <c r="G416" s="2">
        <v>2</v>
      </c>
      <c r="H416" s="6">
        <v>14.99</v>
      </c>
      <c r="I416" s="4">
        <f t="shared" si="6"/>
        <v>29.98</v>
      </c>
      <c r="J416" s="2" t="s">
        <v>19</v>
      </c>
      <c r="K416" s="2" t="s">
        <v>28</v>
      </c>
      <c r="L416" s="2" t="s">
        <v>29</v>
      </c>
      <c r="M416" s="11" t="s">
        <v>697</v>
      </c>
    </row>
    <row r="417" spans="1:13" x14ac:dyDescent="0.25">
      <c r="A417" s="10">
        <v>1415</v>
      </c>
      <c r="B417" s="3">
        <v>45322</v>
      </c>
      <c r="C417" s="2" t="s">
        <v>65</v>
      </c>
      <c r="D417" s="2" t="s">
        <v>126</v>
      </c>
      <c r="E417" s="2" t="s">
        <v>92</v>
      </c>
      <c r="F417" s="2" t="s">
        <v>26</v>
      </c>
      <c r="G417" s="2">
        <v>1</v>
      </c>
      <c r="H417" s="6">
        <v>14.99</v>
      </c>
      <c r="I417" s="4">
        <f t="shared" si="6"/>
        <v>14.99</v>
      </c>
      <c r="J417" s="2" t="s">
        <v>19</v>
      </c>
      <c r="K417" s="2" t="s">
        <v>45</v>
      </c>
      <c r="L417" s="2" t="s">
        <v>35</v>
      </c>
      <c r="M417" s="11" t="s">
        <v>697</v>
      </c>
    </row>
    <row r="418" spans="1:13" x14ac:dyDescent="0.25">
      <c r="A418" s="10">
        <v>1416</v>
      </c>
      <c r="B418" s="3">
        <v>44962</v>
      </c>
      <c r="C418" s="2" t="s">
        <v>14</v>
      </c>
      <c r="D418" s="2" t="s">
        <v>84</v>
      </c>
      <c r="E418" s="2" t="s">
        <v>82</v>
      </c>
      <c r="F418" s="2" t="s">
        <v>60</v>
      </c>
      <c r="G418" s="2">
        <v>5</v>
      </c>
      <c r="H418" s="6">
        <v>4.99</v>
      </c>
      <c r="I418" s="4">
        <f t="shared" si="6"/>
        <v>24.950000000000003</v>
      </c>
      <c r="J418" s="2" t="s">
        <v>27</v>
      </c>
      <c r="K418" s="2" t="s">
        <v>45</v>
      </c>
      <c r="L418" s="2" t="s">
        <v>35</v>
      </c>
      <c r="M418" s="11" t="s">
        <v>697</v>
      </c>
    </row>
    <row r="419" spans="1:13" x14ac:dyDescent="0.25">
      <c r="A419" s="10">
        <v>1417</v>
      </c>
      <c r="B419" s="3">
        <v>44979</v>
      </c>
      <c r="C419" s="2" t="s">
        <v>70</v>
      </c>
      <c r="D419" s="2" t="s">
        <v>71</v>
      </c>
      <c r="E419" s="2" t="s">
        <v>52</v>
      </c>
      <c r="F419" s="2" t="s">
        <v>53</v>
      </c>
      <c r="G419" s="2">
        <v>5</v>
      </c>
      <c r="H419" s="6">
        <v>59.99</v>
      </c>
      <c r="I419" s="4">
        <f t="shared" si="6"/>
        <v>299.95</v>
      </c>
      <c r="J419" s="2" t="s">
        <v>33</v>
      </c>
      <c r="K419" s="2" t="s">
        <v>45</v>
      </c>
      <c r="L419" s="2" t="s">
        <v>35</v>
      </c>
      <c r="M419" s="11" t="s">
        <v>697</v>
      </c>
    </row>
    <row r="420" spans="1:13" x14ac:dyDescent="0.25">
      <c r="A420" s="10">
        <v>1418</v>
      </c>
      <c r="B420" s="3">
        <v>45382</v>
      </c>
      <c r="C420" s="2" t="s">
        <v>70</v>
      </c>
      <c r="D420" s="2" t="s">
        <v>88</v>
      </c>
      <c r="E420" s="2" t="s">
        <v>44</v>
      </c>
      <c r="F420" s="2" t="s">
        <v>17</v>
      </c>
      <c r="G420" s="2">
        <v>1</v>
      </c>
      <c r="H420" s="6">
        <v>15.99</v>
      </c>
      <c r="I420" s="4">
        <f t="shared" si="6"/>
        <v>15.99</v>
      </c>
      <c r="J420" s="2" t="s">
        <v>54</v>
      </c>
      <c r="K420" s="2" t="s">
        <v>129</v>
      </c>
      <c r="L420" s="2" t="s">
        <v>35</v>
      </c>
      <c r="M420" s="11" t="s">
        <v>697</v>
      </c>
    </row>
    <row r="421" spans="1:13" x14ac:dyDescent="0.25">
      <c r="A421" s="10">
        <v>1419</v>
      </c>
      <c r="B421" s="3">
        <v>44981</v>
      </c>
      <c r="C421" s="2" t="s">
        <v>697</v>
      </c>
      <c r="D421" s="2" t="s">
        <v>43</v>
      </c>
      <c r="E421" s="2" t="s">
        <v>85</v>
      </c>
      <c r="F421" s="2" t="s">
        <v>26</v>
      </c>
      <c r="G421" s="2">
        <v>4</v>
      </c>
      <c r="H421" s="6">
        <v>99.99</v>
      </c>
      <c r="I421" s="4">
        <f t="shared" si="6"/>
        <v>399.96</v>
      </c>
      <c r="J421" s="2" t="s">
        <v>33</v>
      </c>
      <c r="K421" s="2" t="s">
        <v>45</v>
      </c>
      <c r="L421" s="2" t="s">
        <v>35</v>
      </c>
      <c r="M421" s="11" t="s">
        <v>697</v>
      </c>
    </row>
    <row r="422" spans="1:13" x14ac:dyDescent="0.25">
      <c r="A422" s="10">
        <v>1420</v>
      </c>
      <c r="B422" s="3">
        <v>45032</v>
      </c>
      <c r="C422" s="2" t="s">
        <v>23</v>
      </c>
      <c r="D422" s="2" t="s">
        <v>81</v>
      </c>
      <c r="E422" s="2" t="s">
        <v>82</v>
      </c>
      <c r="F422" s="2" t="s">
        <v>60</v>
      </c>
      <c r="G422" s="2">
        <v>4</v>
      </c>
      <c r="H422" s="6">
        <v>4.99</v>
      </c>
      <c r="I422" s="4">
        <f t="shared" si="6"/>
        <v>19.96</v>
      </c>
      <c r="J422" s="2" t="s">
        <v>33</v>
      </c>
      <c r="K422" s="2" t="s">
        <v>28</v>
      </c>
      <c r="L422" s="2" t="s">
        <v>35</v>
      </c>
      <c r="M422" s="11" t="s">
        <v>697</v>
      </c>
    </row>
    <row r="423" spans="1:13" x14ac:dyDescent="0.25">
      <c r="A423" s="10">
        <v>1421</v>
      </c>
      <c r="B423" s="3">
        <v>45139</v>
      </c>
      <c r="C423" s="2" t="s">
        <v>70</v>
      </c>
      <c r="D423" s="2" t="s">
        <v>88</v>
      </c>
      <c r="E423" s="2" t="s">
        <v>92</v>
      </c>
      <c r="F423" s="2" t="s">
        <v>26</v>
      </c>
      <c r="G423" s="2">
        <v>5</v>
      </c>
      <c r="H423" s="6">
        <v>14.99</v>
      </c>
      <c r="I423" s="4">
        <f t="shared" si="6"/>
        <v>74.95</v>
      </c>
      <c r="J423" s="2" t="s">
        <v>33</v>
      </c>
      <c r="K423" s="2" t="s">
        <v>28</v>
      </c>
      <c r="L423" s="2" t="s">
        <v>29</v>
      </c>
      <c r="M423" s="11" t="s">
        <v>697</v>
      </c>
    </row>
    <row r="424" spans="1:13" x14ac:dyDescent="0.25">
      <c r="A424" s="10">
        <v>1422</v>
      </c>
      <c r="B424" s="3">
        <v>45187</v>
      </c>
      <c r="C424" s="2" t="s">
        <v>65</v>
      </c>
      <c r="D424" s="2" t="s">
        <v>66</v>
      </c>
      <c r="E424" s="2" t="s">
        <v>44</v>
      </c>
      <c r="F424" s="2" t="s">
        <v>17</v>
      </c>
      <c r="G424" s="4" t="s">
        <v>697</v>
      </c>
      <c r="H424" s="6">
        <v>15.99</v>
      </c>
      <c r="I424" s="4" t="str">
        <f t="shared" si="6"/>
        <v>N/A</v>
      </c>
      <c r="J424" s="2" t="s">
        <v>33</v>
      </c>
      <c r="K424" s="2" t="s">
        <v>34</v>
      </c>
      <c r="L424" s="2" t="s">
        <v>35</v>
      </c>
      <c r="M424" s="11" t="s">
        <v>697</v>
      </c>
    </row>
    <row r="425" spans="1:13" x14ac:dyDescent="0.25">
      <c r="A425" s="10">
        <v>1423</v>
      </c>
      <c r="B425" s="3">
        <v>45273</v>
      </c>
      <c r="C425" s="2" t="s">
        <v>42</v>
      </c>
      <c r="D425" s="2" t="s">
        <v>48</v>
      </c>
      <c r="E425" s="2" t="s">
        <v>92</v>
      </c>
      <c r="F425" s="2" t="s">
        <v>26</v>
      </c>
      <c r="G425" s="4" t="s">
        <v>697</v>
      </c>
      <c r="H425" s="6">
        <v>14.99</v>
      </c>
      <c r="I425" s="4" t="str">
        <f t="shared" si="6"/>
        <v>N/A</v>
      </c>
      <c r="J425" s="2" t="s">
        <v>33</v>
      </c>
      <c r="K425" s="2" t="s">
        <v>129</v>
      </c>
      <c r="L425" s="2" t="s">
        <v>29</v>
      </c>
      <c r="M425" s="11" t="s">
        <v>697</v>
      </c>
    </row>
    <row r="426" spans="1:13" x14ac:dyDescent="0.25">
      <c r="A426" s="10">
        <v>1424</v>
      </c>
      <c r="B426" s="3">
        <v>45029</v>
      </c>
      <c r="C426" s="2" t="s">
        <v>65</v>
      </c>
      <c r="D426" s="2" t="s">
        <v>126</v>
      </c>
      <c r="E426" s="2" t="s">
        <v>31</v>
      </c>
      <c r="F426" s="2" t="s">
        <v>32</v>
      </c>
      <c r="G426" s="2">
        <v>5</v>
      </c>
      <c r="H426" s="6">
        <v>79.989999999999995</v>
      </c>
      <c r="I426" s="4">
        <f t="shared" si="6"/>
        <v>399.95</v>
      </c>
      <c r="J426" s="2" t="s">
        <v>33</v>
      </c>
      <c r="K426" s="2" t="s">
        <v>45</v>
      </c>
      <c r="L426" s="2" t="s">
        <v>35</v>
      </c>
      <c r="M426" s="11" t="s">
        <v>697</v>
      </c>
    </row>
    <row r="427" spans="1:13" x14ac:dyDescent="0.25">
      <c r="A427" s="10">
        <v>1425</v>
      </c>
      <c r="B427" s="3">
        <v>44977</v>
      </c>
      <c r="C427" s="2" t="s">
        <v>77</v>
      </c>
      <c r="D427" s="2" t="s">
        <v>114</v>
      </c>
      <c r="E427" s="2" t="s">
        <v>85</v>
      </c>
      <c r="F427" s="2" t="s">
        <v>26</v>
      </c>
      <c r="G427" s="2">
        <v>4</v>
      </c>
      <c r="H427" s="6">
        <v>99.99</v>
      </c>
      <c r="I427" s="4">
        <f t="shared" si="6"/>
        <v>399.96</v>
      </c>
      <c r="J427" s="2" t="s">
        <v>19</v>
      </c>
      <c r="K427" s="2" t="s">
        <v>55</v>
      </c>
      <c r="L427" s="2" t="s">
        <v>35</v>
      </c>
      <c r="M427" s="11" t="s">
        <v>697</v>
      </c>
    </row>
    <row r="428" spans="1:13" x14ac:dyDescent="0.25">
      <c r="A428" s="10">
        <v>1426</v>
      </c>
      <c r="B428" s="3">
        <v>45051</v>
      </c>
      <c r="C428" s="2" t="s">
        <v>42</v>
      </c>
      <c r="D428" s="2" t="s">
        <v>43</v>
      </c>
      <c r="E428" s="2" t="s">
        <v>44</v>
      </c>
      <c r="F428" s="2" t="s">
        <v>17</v>
      </c>
      <c r="G428" s="2">
        <v>3</v>
      </c>
      <c r="H428" s="6">
        <v>15.99</v>
      </c>
      <c r="I428" s="4">
        <f t="shared" si="6"/>
        <v>47.97</v>
      </c>
      <c r="J428" s="2" t="s">
        <v>33</v>
      </c>
      <c r="K428" s="2" t="s">
        <v>129</v>
      </c>
      <c r="L428" s="2" t="s">
        <v>29</v>
      </c>
      <c r="M428" s="11" t="s">
        <v>697</v>
      </c>
    </row>
    <row r="429" spans="1:13" x14ac:dyDescent="0.25">
      <c r="A429" s="10">
        <v>1427</v>
      </c>
      <c r="B429" s="3">
        <v>45080</v>
      </c>
      <c r="C429" s="2" t="s">
        <v>37</v>
      </c>
      <c r="D429" s="2" t="s">
        <v>169</v>
      </c>
      <c r="E429" s="2" t="s">
        <v>31</v>
      </c>
      <c r="F429" s="2" t="s">
        <v>32</v>
      </c>
      <c r="G429" s="4" t="s">
        <v>697</v>
      </c>
      <c r="H429" s="6">
        <v>79.989999999999995</v>
      </c>
      <c r="I429" s="4" t="str">
        <f t="shared" si="6"/>
        <v>N/A</v>
      </c>
      <c r="J429" s="2" t="s">
        <v>33</v>
      </c>
      <c r="K429" s="2" t="s">
        <v>129</v>
      </c>
      <c r="L429" s="2" t="s">
        <v>35</v>
      </c>
      <c r="M429" s="11" t="s">
        <v>697</v>
      </c>
    </row>
    <row r="430" spans="1:13" x14ac:dyDescent="0.25">
      <c r="A430" s="10">
        <v>1428</v>
      </c>
      <c r="B430" s="3">
        <v>45211</v>
      </c>
      <c r="C430" s="2" t="s">
        <v>37</v>
      </c>
      <c r="D430" s="2" t="s">
        <v>38</v>
      </c>
      <c r="E430" s="2" t="s">
        <v>44</v>
      </c>
      <c r="F430" s="2" t="s">
        <v>17</v>
      </c>
      <c r="G430" s="2">
        <v>3</v>
      </c>
      <c r="H430" s="6">
        <v>15.99</v>
      </c>
      <c r="I430" s="4">
        <f t="shared" si="6"/>
        <v>47.97</v>
      </c>
      <c r="J430" s="2" t="s">
        <v>33</v>
      </c>
      <c r="K430" s="2" t="s">
        <v>129</v>
      </c>
      <c r="L430" s="2" t="s">
        <v>35</v>
      </c>
      <c r="M430" s="11" t="s">
        <v>697</v>
      </c>
    </row>
    <row r="431" spans="1:13" x14ac:dyDescent="0.25">
      <c r="A431" s="10">
        <v>1429</v>
      </c>
      <c r="B431" s="3">
        <v>45258</v>
      </c>
      <c r="C431" s="2" t="s">
        <v>37</v>
      </c>
      <c r="D431" s="2" t="s">
        <v>162</v>
      </c>
      <c r="E431" s="2" t="s">
        <v>31</v>
      </c>
      <c r="F431" s="2" t="s">
        <v>32</v>
      </c>
      <c r="G431" s="2">
        <v>4</v>
      </c>
      <c r="H431" s="6">
        <v>79.989999999999995</v>
      </c>
      <c r="I431" s="4">
        <f t="shared" si="6"/>
        <v>319.95999999999998</v>
      </c>
      <c r="J431" s="2" t="s">
        <v>33</v>
      </c>
      <c r="K431" s="2" t="s">
        <v>28</v>
      </c>
      <c r="L431" s="2" t="s">
        <v>29</v>
      </c>
      <c r="M431" s="11" t="s">
        <v>697</v>
      </c>
    </row>
    <row r="432" spans="1:13" x14ac:dyDescent="0.25">
      <c r="A432" s="10">
        <v>1430</v>
      </c>
      <c r="B432" s="3">
        <v>45358</v>
      </c>
      <c r="C432" s="2" t="s">
        <v>697</v>
      </c>
      <c r="D432" s="2" t="s">
        <v>116</v>
      </c>
      <c r="E432" s="2" t="s">
        <v>44</v>
      </c>
      <c r="F432" s="2" t="s">
        <v>17</v>
      </c>
      <c r="G432" s="2">
        <v>3</v>
      </c>
      <c r="H432" s="6">
        <v>15.99</v>
      </c>
      <c r="I432" s="4">
        <f t="shared" si="6"/>
        <v>47.97</v>
      </c>
      <c r="J432" s="2" t="s">
        <v>27</v>
      </c>
      <c r="K432" s="2" t="s">
        <v>55</v>
      </c>
      <c r="L432" s="2" t="s">
        <v>40</v>
      </c>
      <c r="M432" s="11" t="s">
        <v>697</v>
      </c>
    </row>
    <row r="433" spans="1:13" x14ac:dyDescent="0.25">
      <c r="A433" s="10">
        <v>1431</v>
      </c>
      <c r="B433" s="3">
        <v>45366</v>
      </c>
      <c r="C433" s="2" t="s">
        <v>14</v>
      </c>
      <c r="D433" s="2" t="s">
        <v>15</v>
      </c>
      <c r="E433" s="2" t="s">
        <v>44</v>
      </c>
      <c r="F433" s="2" t="s">
        <v>17</v>
      </c>
      <c r="G433" s="2">
        <v>1</v>
      </c>
      <c r="H433" s="6">
        <v>15.99</v>
      </c>
      <c r="I433" s="4">
        <f t="shared" si="6"/>
        <v>15.99</v>
      </c>
      <c r="J433" s="2" t="s">
        <v>33</v>
      </c>
      <c r="K433" s="2" t="s">
        <v>28</v>
      </c>
      <c r="L433" s="2" t="s">
        <v>29</v>
      </c>
      <c r="M433" s="11" t="s">
        <v>697</v>
      </c>
    </row>
    <row r="434" spans="1:13" x14ac:dyDescent="0.25">
      <c r="A434" s="10">
        <v>1432</v>
      </c>
      <c r="B434" s="3">
        <v>44988</v>
      </c>
      <c r="C434" s="2" t="s">
        <v>37</v>
      </c>
      <c r="D434" s="2" t="s">
        <v>38</v>
      </c>
      <c r="E434" s="2" t="s">
        <v>92</v>
      </c>
      <c r="F434" s="2" t="s">
        <v>26</v>
      </c>
      <c r="G434" s="2">
        <v>1</v>
      </c>
      <c r="H434" s="6">
        <v>14.99</v>
      </c>
      <c r="I434" s="4">
        <f t="shared" si="6"/>
        <v>14.99</v>
      </c>
      <c r="J434" s="2" t="s">
        <v>33</v>
      </c>
      <c r="K434" s="2" t="s">
        <v>45</v>
      </c>
      <c r="L434" s="2" t="s">
        <v>40</v>
      </c>
      <c r="M434" s="11" t="s">
        <v>697</v>
      </c>
    </row>
    <row r="435" spans="1:13" x14ac:dyDescent="0.25">
      <c r="A435" s="10">
        <v>1433</v>
      </c>
      <c r="B435" s="5" t="s">
        <v>697</v>
      </c>
      <c r="C435" s="2" t="s">
        <v>23</v>
      </c>
      <c r="D435" s="2" t="s">
        <v>81</v>
      </c>
      <c r="E435" s="2" t="s">
        <v>52</v>
      </c>
      <c r="F435" s="2" t="s">
        <v>53</v>
      </c>
      <c r="G435" s="2">
        <v>1</v>
      </c>
      <c r="H435" s="6">
        <v>59.99</v>
      </c>
      <c r="I435" s="4">
        <f t="shared" si="6"/>
        <v>59.99</v>
      </c>
      <c r="J435" s="2" t="s">
        <v>33</v>
      </c>
      <c r="K435" s="2" t="s">
        <v>34</v>
      </c>
      <c r="L435" s="2" t="s">
        <v>29</v>
      </c>
      <c r="M435" s="11" t="s">
        <v>697</v>
      </c>
    </row>
    <row r="436" spans="1:13" x14ac:dyDescent="0.25">
      <c r="A436" s="10">
        <v>1434</v>
      </c>
      <c r="B436" s="5" t="s">
        <v>697</v>
      </c>
      <c r="C436" s="2" t="s">
        <v>42</v>
      </c>
      <c r="D436" s="2" t="s">
        <v>43</v>
      </c>
      <c r="E436" s="2" t="s">
        <v>31</v>
      </c>
      <c r="F436" s="2" t="s">
        <v>32</v>
      </c>
      <c r="G436" s="2">
        <v>2</v>
      </c>
      <c r="H436" s="6">
        <v>79.989999999999995</v>
      </c>
      <c r="I436" s="4">
        <f t="shared" si="6"/>
        <v>159.97999999999999</v>
      </c>
      <c r="J436" s="2" t="s">
        <v>33</v>
      </c>
      <c r="K436" s="2" t="s">
        <v>129</v>
      </c>
      <c r="L436" s="2" t="s">
        <v>35</v>
      </c>
      <c r="M436" s="11" t="s">
        <v>697</v>
      </c>
    </row>
    <row r="437" spans="1:13" x14ac:dyDescent="0.25">
      <c r="A437" s="10">
        <v>1435</v>
      </c>
      <c r="B437" s="3">
        <v>45254</v>
      </c>
      <c r="C437" s="2" t="s">
        <v>77</v>
      </c>
      <c r="D437" s="2" t="s">
        <v>114</v>
      </c>
      <c r="E437" s="2" t="s">
        <v>127</v>
      </c>
      <c r="F437" s="2" t="s">
        <v>73</v>
      </c>
      <c r="G437" s="2">
        <v>5</v>
      </c>
      <c r="H437" s="6">
        <v>29.99</v>
      </c>
      <c r="I437" s="4">
        <f t="shared" si="6"/>
        <v>149.94999999999999</v>
      </c>
      <c r="J437" s="2" t="s">
        <v>19</v>
      </c>
      <c r="K437" s="2" t="s">
        <v>129</v>
      </c>
      <c r="L437" s="2" t="s">
        <v>35</v>
      </c>
      <c r="M437" s="11" t="s">
        <v>697</v>
      </c>
    </row>
    <row r="438" spans="1:13" x14ac:dyDescent="0.25">
      <c r="A438" s="10">
        <v>1436</v>
      </c>
      <c r="B438" s="3">
        <v>45334</v>
      </c>
      <c r="C438" s="2" t="s">
        <v>65</v>
      </c>
      <c r="D438" s="2" t="s">
        <v>66</v>
      </c>
      <c r="E438" s="2" t="s">
        <v>82</v>
      </c>
      <c r="F438" s="2" t="s">
        <v>60</v>
      </c>
      <c r="G438" s="2">
        <v>2</v>
      </c>
      <c r="H438" s="6">
        <v>4.99</v>
      </c>
      <c r="I438" s="4">
        <f t="shared" si="6"/>
        <v>9.98</v>
      </c>
      <c r="J438" s="2" t="s">
        <v>19</v>
      </c>
      <c r="K438" s="2" t="s">
        <v>28</v>
      </c>
      <c r="L438" s="2" t="s">
        <v>35</v>
      </c>
      <c r="M438" s="11" t="s">
        <v>697</v>
      </c>
    </row>
    <row r="439" spans="1:13" x14ac:dyDescent="0.25">
      <c r="A439" s="10">
        <v>1437</v>
      </c>
      <c r="B439" s="5" t="s">
        <v>697</v>
      </c>
      <c r="C439" s="2" t="s">
        <v>14</v>
      </c>
      <c r="D439" s="2" t="s">
        <v>15</v>
      </c>
      <c r="E439" s="2" t="s">
        <v>39</v>
      </c>
      <c r="F439" s="2" t="s">
        <v>17</v>
      </c>
      <c r="G439" s="2">
        <v>3</v>
      </c>
      <c r="H439" s="6">
        <v>39.99</v>
      </c>
      <c r="I439" s="4">
        <f t="shared" si="6"/>
        <v>119.97</v>
      </c>
      <c r="J439" s="2" t="s">
        <v>33</v>
      </c>
      <c r="K439" s="2" t="s">
        <v>45</v>
      </c>
      <c r="L439" s="2" t="s">
        <v>35</v>
      </c>
      <c r="M439" s="11" t="s">
        <v>697</v>
      </c>
    </row>
    <row r="440" spans="1:13" x14ac:dyDescent="0.25">
      <c r="A440" s="10">
        <v>1438</v>
      </c>
      <c r="B440" s="5" t="s">
        <v>697</v>
      </c>
      <c r="C440" s="2" t="s">
        <v>14</v>
      </c>
      <c r="D440" s="2" t="s">
        <v>84</v>
      </c>
      <c r="E440" s="2" t="s">
        <v>31</v>
      </c>
      <c r="F440" s="2" t="s">
        <v>32</v>
      </c>
      <c r="G440" s="2">
        <v>5</v>
      </c>
      <c r="H440" s="6">
        <v>79.989999999999995</v>
      </c>
      <c r="I440" s="4">
        <f t="shared" si="6"/>
        <v>399.95</v>
      </c>
      <c r="J440" s="2" t="s">
        <v>19</v>
      </c>
      <c r="K440" s="2" t="s">
        <v>34</v>
      </c>
      <c r="L440" s="2" t="s">
        <v>35</v>
      </c>
      <c r="M440" s="11" t="s">
        <v>697</v>
      </c>
    </row>
    <row r="441" spans="1:13" x14ac:dyDescent="0.25">
      <c r="A441" s="10">
        <v>1439</v>
      </c>
      <c r="B441" s="3">
        <v>45305</v>
      </c>
      <c r="C441" s="2" t="s">
        <v>14</v>
      </c>
      <c r="D441" s="2" t="s">
        <v>15</v>
      </c>
      <c r="E441" s="2" t="s">
        <v>85</v>
      </c>
      <c r="F441" s="2" t="s">
        <v>26</v>
      </c>
      <c r="G441" s="2">
        <v>1</v>
      </c>
      <c r="H441" s="6">
        <v>99.99</v>
      </c>
      <c r="I441" s="4">
        <f t="shared" si="6"/>
        <v>99.99</v>
      </c>
      <c r="J441" s="2" t="s">
        <v>27</v>
      </c>
      <c r="K441" s="2" t="s">
        <v>45</v>
      </c>
      <c r="L441" s="2" t="s">
        <v>35</v>
      </c>
      <c r="M441" s="11" t="s">
        <v>697</v>
      </c>
    </row>
    <row r="442" spans="1:13" x14ac:dyDescent="0.25">
      <c r="A442" s="10">
        <v>1440</v>
      </c>
      <c r="B442" s="3">
        <v>45281</v>
      </c>
      <c r="C442" s="2" t="s">
        <v>70</v>
      </c>
      <c r="D442" s="2" t="s">
        <v>131</v>
      </c>
      <c r="E442" s="2" t="s">
        <v>39</v>
      </c>
      <c r="F442" s="2" t="s">
        <v>17</v>
      </c>
      <c r="G442" s="4" t="s">
        <v>697</v>
      </c>
      <c r="H442" s="6">
        <v>39.99</v>
      </c>
      <c r="I442" s="4" t="str">
        <f t="shared" si="6"/>
        <v>N/A</v>
      </c>
      <c r="J442" s="2" t="s">
        <v>33</v>
      </c>
      <c r="K442" s="2" t="s">
        <v>45</v>
      </c>
      <c r="L442" s="2" t="s">
        <v>35</v>
      </c>
      <c r="M442" s="11" t="s">
        <v>697</v>
      </c>
    </row>
    <row r="443" spans="1:13" x14ac:dyDescent="0.25">
      <c r="A443" s="10">
        <v>1441</v>
      </c>
      <c r="B443" s="3">
        <v>45297</v>
      </c>
      <c r="C443" s="2" t="s">
        <v>77</v>
      </c>
      <c r="D443" s="2" t="s">
        <v>114</v>
      </c>
      <c r="E443" s="2" t="s">
        <v>39</v>
      </c>
      <c r="F443" s="2" t="s">
        <v>17</v>
      </c>
      <c r="G443" s="2">
        <v>3</v>
      </c>
      <c r="H443" s="6">
        <v>39.99</v>
      </c>
      <c r="I443" s="4">
        <f t="shared" si="6"/>
        <v>119.97</v>
      </c>
      <c r="J443" s="2" t="s">
        <v>33</v>
      </c>
      <c r="K443" s="2" t="s">
        <v>129</v>
      </c>
      <c r="L443" s="2" t="s">
        <v>40</v>
      </c>
      <c r="M443" s="11" t="s">
        <v>697</v>
      </c>
    </row>
    <row r="444" spans="1:13" x14ac:dyDescent="0.25">
      <c r="A444" s="10">
        <v>1442</v>
      </c>
      <c r="B444" s="3">
        <v>45067</v>
      </c>
      <c r="C444" s="2" t="s">
        <v>23</v>
      </c>
      <c r="D444" s="2" t="s">
        <v>124</v>
      </c>
      <c r="E444" s="2" t="s">
        <v>39</v>
      </c>
      <c r="F444" s="2" t="s">
        <v>17</v>
      </c>
      <c r="G444" s="2">
        <v>1</v>
      </c>
      <c r="H444" s="6">
        <v>39.99</v>
      </c>
      <c r="I444" s="4">
        <f t="shared" si="6"/>
        <v>39.99</v>
      </c>
      <c r="J444" s="2" t="s">
        <v>33</v>
      </c>
      <c r="K444" s="2" t="s">
        <v>45</v>
      </c>
      <c r="L444" s="2" t="s">
        <v>40</v>
      </c>
      <c r="M444" s="11" t="s">
        <v>697</v>
      </c>
    </row>
    <row r="445" spans="1:13" x14ac:dyDescent="0.25">
      <c r="A445" s="10">
        <v>1443</v>
      </c>
      <c r="B445" s="3">
        <v>45045</v>
      </c>
      <c r="C445" s="2" t="s">
        <v>65</v>
      </c>
      <c r="D445" s="2" t="s">
        <v>126</v>
      </c>
      <c r="E445" s="2" t="s">
        <v>52</v>
      </c>
      <c r="F445" s="2" t="s">
        <v>53</v>
      </c>
      <c r="G445" s="2">
        <v>3</v>
      </c>
      <c r="H445" s="6">
        <v>59.99</v>
      </c>
      <c r="I445" s="4">
        <f t="shared" si="6"/>
        <v>179.97</v>
      </c>
      <c r="J445" s="2" t="s">
        <v>54</v>
      </c>
      <c r="K445" s="2" t="s">
        <v>28</v>
      </c>
      <c r="L445" s="2" t="s">
        <v>35</v>
      </c>
      <c r="M445" s="11" t="s">
        <v>697</v>
      </c>
    </row>
    <row r="446" spans="1:13" x14ac:dyDescent="0.25">
      <c r="A446" s="10">
        <v>1444</v>
      </c>
      <c r="B446" s="3">
        <v>45204</v>
      </c>
      <c r="C446" s="2" t="s">
        <v>42</v>
      </c>
      <c r="D446" s="2" t="s">
        <v>43</v>
      </c>
      <c r="E446" s="2" t="s">
        <v>72</v>
      </c>
      <c r="F446" s="2" t="s">
        <v>73</v>
      </c>
      <c r="G446" s="2">
        <v>4</v>
      </c>
      <c r="H446" s="6">
        <v>49.99</v>
      </c>
      <c r="I446" s="4">
        <f t="shared" si="6"/>
        <v>199.96</v>
      </c>
      <c r="J446" s="2" t="s">
        <v>33</v>
      </c>
      <c r="K446" s="2" t="s">
        <v>28</v>
      </c>
      <c r="L446" s="2" t="s">
        <v>40</v>
      </c>
      <c r="M446" s="11" t="s">
        <v>697</v>
      </c>
    </row>
    <row r="447" spans="1:13" x14ac:dyDescent="0.25">
      <c r="A447" s="10">
        <v>1445</v>
      </c>
      <c r="B447" s="3">
        <v>45279</v>
      </c>
      <c r="C447" s="2" t="s">
        <v>70</v>
      </c>
      <c r="D447" s="2" t="s">
        <v>131</v>
      </c>
      <c r="E447" s="2" t="s">
        <v>127</v>
      </c>
      <c r="F447" s="2" t="s">
        <v>73</v>
      </c>
      <c r="G447" s="2">
        <v>1</v>
      </c>
      <c r="H447" s="6">
        <v>29.99</v>
      </c>
      <c r="I447" s="4">
        <f t="shared" si="6"/>
        <v>29.99</v>
      </c>
      <c r="J447" s="2" t="s">
        <v>54</v>
      </c>
      <c r="K447" s="2" t="s">
        <v>55</v>
      </c>
      <c r="L447" s="2" t="s">
        <v>35</v>
      </c>
      <c r="M447" s="11" t="s">
        <v>697</v>
      </c>
    </row>
    <row r="448" spans="1:13" x14ac:dyDescent="0.25">
      <c r="A448" s="10">
        <v>1446</v>
      </c>
      <c r="B448" s="3">
        <v>44937</v>
      </c>
      <c r="C448" s="2" t="s">
        <v>77</v>
      </c>
      <c r="D448" s="2" t="s">
        <v>91</v>
      </c>
      <c r="E448" s="2" t="s">
        <v>85</v>
      </c>
      <c r="F448" s="2" t="s">
        <v>26</v>
      </c>
      <c r="G448" s="2">
        <v>4</v>
      </c>
      <c r="H448" s="6">
        <v>99.99</v>
      </c>
      <c r="I448" s="4">
        <f t="shared" si="6"/>
        <v>399.96</v>
      </c>
      <c r="J448" s="2" t="s">
        <v>33</v>
      </c>
      <c r="K448" s="2" t="s">
        <v>55</v>
      </c>
      <c r="L448" s="2" t="s">
        <v>40</v>
      </c>
      <c r="M448" s="11" t="s">
        <v>697</v>
      </c>
    </row>
    <row r="449" spans="1:13" x14ac:dyDescent="0.25">
      <c r="A449" s="10">
        <v>1447</v>
      </c>
      <c r="B449" s="3">
        <v>45263</v>
      </c>
      <c r="C449" s="2" t="s">
        <v>77</v>
      </c>
      <c r="D449" s="2" t="s">
        <v>78</v>
      </c>
      <c r="E449" s="2" t="s">
        <v>85</v>
      </c>
      <c r="F449" s="2" t="s">
        <v>26</v>
      </c>
      <c r="G449" s="2">
        <v>1</v>
      </c>
      <c r="H449" s="6">
        <v>99.99</v>
      </c>
      <c r="I449" s="4">
        <f t="shared" si="6"/>
        <v>99.99</v>
      </c>
      <c r="J449" s="2" t="s">
        <v>33</v>
      </c>
      <c r="K449" s="2" t="s">
        <v>28</v>
      </c>
      <c r="L449" s="2" t="s">
        <v>35</v>
      </c>
      <c r="M449" s="11" t="s">
        <v>697</v>
      </c>
    </row>
    <row r="450" spans="1:13" x14ac:dyDescent="0.25">
      <c r="A450" s="10">
        <v>1448</v>
      </c>
      <c r="B450" s="3">
        <v>45053</v>
      </c>
      <c r="C450" s="2" t="s">
        <v>23</v>
      </c>
      <c r="D450" s="2" t="s">
        <v>24</v>
      </c>
      <c r="E450" s="2" t="s">
        <v>44</v>
      </c>
      <c r="F450" s="2" t="s">
        <v>17</v>
      </c>
      <c r="G450" s="2">
        <v>4</v>
      </c>
      <c r="H450" s="6">
        <v>15.99</v>
      </c>
      <c r="I450" s="4">
        <f t="shared" si="6"/>
        <v>63.96</v>
      </c>
      <c r="J450" s="2" t="s">
        <v>27</v>
      </c>
      <c r="K450" s="2" t="s">
        <v>28</v>
      </c>
      <c r="L450" s="2" t="s">
        <v>35</v>
      </c>
      <c r="M450" s="11" t="s">
        <v>697</v>
      </c>
    </row>
    <row r="451" spans="1:13" x14ac:dyDescent="0.25">
      <c r="A451" s="10">
        <v>1449</v>
      </c>
      <c r="B451" s="5" t="s">
        <v>697</v>
      </c>
      <c r="C451" s="2" t="s">
        <v>23</v>
      </c>
      <c r="D451" s="2" t="s">
        <v>81</v>
      </c>
      <c r="E451" s="2" t="s">
        <v>72</v>
      </c>
      <c r="F451" s="2" t="s">
        <v>73</v>
      </c>
      <c r="G451" s="2">
        <v>3</v>
      </c>
      <c r="H451" s="6">
        <v>49.99</v>
      </c>
      <c r="I451" s="4">
        <f t="shared" ref="I451:I514" si="7">IF(G451="N/A","N/A",PRODUCT(G451,H451))</f>
        <v>149.97</v>
      </c>
      <c r="J451" s="2" t="s">
        <v>27</v>
      </c>
      <c r="K451" s="2" t="s">
        <v>28</v>
      </c>
      <c r="L451" s="2" t="s">
        <v>35</v>
      </c>
      <c r="M451" s="11" t="s">
        <v>697</v>
      </c>
    </row>
    <row r="452" spans="1:13" x14ac:dyDescent="0.25">
      <c r="A452" s="10">
        <v>1450</v>
      </c>
      <c r="B452" s="5" t="s">
        <v>697</v>
      </c>
      <c r="C452" s="2" t="s">
        <v>70</v>
      </c>
      <c r="D452" s="2" t="s">
        <v>71</v>
      </c>
      <c r="E452" s="2" t="s">
        <v>44</v>
      </c>
      <c r="F452" s="2" t="s">
        <v>17</v>
      </c>
      <c r="G452" s="4" t="s">
        <v>697</v>
      </c>
      <c r="H452" s="6">
        <v>15.99</v>
      </c>
      <c r="I452" s="4" t="str">
        <f t="shared" si="7"/>
        <v>N/A</v>
      </c>
      <c r="J452" s="2" t="s">
        <v>19</v>
      </c>
      <c r="K452" s="2" t="s">
        <v>45</v>
      </c>
      <c r="L452" s="2" t="s">
        <v>35</v>
      </c>
      <c r="M452" s="11" t="s">
        <v>697</v>
      </c>
    </row>
    <row r="453" spans="1:13" x14ac:dyDescent="0.25">
      <c r="A453" s="10">
        <v>1451</v>
      </c>
      <c r="B453" s="3">
        <v>45335</v>
      </c>
      <c r="C453" s="2" t="s">
        <v>42</v>
      </c>
      <c r="D453" s="2" t="s">
        <v>48</v>
      </c>
      <c r="E453" s="2" t="s">
        <v>52</v>
      </c>
      <c r="F453" s="2" t="s">
        <v>53</v>
      </c>
      <c r="G453" s="2">
        <v>4</v>
      </c>
      <c r="H453" s="6">
        <v>59.99</v>
      </c>
      <c r="I453" s="4">
        <f t="shared" si="7"/>
        <v>239.96</v>
      </c>
      <c r="J453" s="2" t="s">
        <v>33</v>
      </c>
      <c r="K453" s="2" t="s">
        <v>34</v>
      </c>
      <c r="L453" s="2" t="s">
        <v>29</v>
      </c>
      <c r="M453" s="11" t="s">
        <v>697</v>
      </c>
    </row>
    <row r="454" spans="1:13" x14ac:dyDescent="0.25">
      <c r="A454" s="10">
        <v>1452</v>
      </c>
      <c r="B454" s="3">
        <v>45032</v>
      </c>
      <c r="C454" s="2" t="s">
        <v>23</v>
      </c>
      <c r="D454" s="2" t="s">
        <v>81</v>
      </c>
      <c r="E454" s="2" t="s">
        <v>127</v>
      </c>
      <c r="F454" s="2" t="s">
        <v>73</v>
      </c>
      <c r="G454" s="2">
        <v>1</v>
      </c>
      <c r="H454" s="6">
        <v>29.99</v>
      </c>
      <c r="I454" s="4">
        <f t="shared" si="7"/>
        <v>29.99</v>
      </c>
      <c r="J454" s="2" t="s">
        <v>33</v>
      </c>
      <c r="K454" s="2" t="s">
        <v>45</v>
      </c>
      <c r="L454" s="2" t="s">
        <v>35</v>
      </c>
      <c r="M454" s="11" t="s">
        <v>697</v>
      </c>
    </row>
    <row r="455" spans="1:13" x14ac:dyDescent="0.25">
      <c r="A455" s="10">
        <v>1453</v>
      </c>
      <c r="B455" s="3">
        <v>45142</v>
      </c>
      <c r="C455" s="2" t="s">
        <v>37</v>
      </c>
      <c r="D455" s="2" t="s">
        <v>162</v>
      </c>
      <c r="E455" s="2" t="s">
        <v>52</v>
      </c>
      <c r="F455" s="2" t="s">
        <v>53</v>
      </c>
      <c r="G455" s="2">
        <v>1</v>
      </c>
      <c r="H455" s="6">
        <v>59.99</v>
      </c>
      <c r="I455" s="4">
        <f t="shared" si="7"/>
        <v>59.99</v>
      </c>
      <c r="J455" s="2" t="s">
        <v>33</v>
      </c>
      <c r="K455" s="2" t="s">
        <v>55</v>
      </c>
      <c r="L455" s="2" t="s">
        <v>35</v>
      </c>
      <c r="M455" s="11" t="s">
        <v>697</v>
      </c>
    </row>
    <row r="456" spans="1:13" x14ac:dyDescent="0.25">
      <c r="A456" s="10">
        <v>1454</v>
      </c>
      <c r="B456" s="3">
        <v>45259</v>
      </c>
      <c r="C456" s="2" t="s">
        <v>42</v>
      </c>
      <c r="D456" s="2" t="s">
        <v>116</v>
      </c>
      <c r="E456" s="2" t="s">
        <v>127</v>
      </c>
      <c r="F456" s="2" t="s">
        <v>73</v>
      </c>
      <c r="G456" s="2">
        <v>1</v>
      </c>
      <c r="H456" s="6">
        <v>29.99</v>
      </c>
      <c r="I456" s="4">
        <f t="shared" si="7"/>
        <v>29.99</v>
      </c>
      <c r="J456" s="2" t="s">
        <v>19</v>
      </c>
      <c r="K456" s="2" t="s">
        <v>28</v>
      </c>
      <c r="L456" s="2" t="s">
        <v>35</v>
      </c>
      <c r="M456" s="11" t="s">
        <v>697</v>
      </c>
    </row>
    <row r="457" spans="1:13" x14ac:dyDescent="0.25">
      <c r="A457" s="10">
        <v>1455</v>
      </c>
      <c r="B457" s="3">
        <v>45035</v>
      </c>
      <c r="C457" s="2" t="s">
        <v>77</v>
      </c>
      <c r="D457" s="2" t="s">
        <v>114</v>
      </c>
      <c r="E457" s="2" t="s">
        <v>72</v>
      </c>
      <c r="F457" s="2" t="s">
        <v>73</v>
      </c>
      <c r="G457" s="4" t="s">
        <v>697</v>
      </c>
      <c r="H457" s="6">
        <v>49.99</v>
      </c>
      <c r="I457" s="4" t="str">
        <f t="shared" si="7"/>
        <v>N/A</v>
      </c>
      <c r="J457" s="2" t="s">
        <v>27</v>
      </c>
      <c r="K457" s="2" t="s">
        <v>28</v>
      </c>
      <c r="L457" s="2" t="s">
        <v>35</v>
      </c>
      <c r="M457" s="11" t="s">
        <v>697</v>
      </c>
    </row>
    <row r="458" spans="1:13" x14ac:dyDescent="0.25">
      <c r="A458" s="10">
        <v>1456</v>
      </c>
      <c r="B458" s="3">
        <v>45374</v>
      </c>
      <c r="C458" s="2" t="s">
        <v>65</v>
      </c>
      <c r="D458" s="2" t="s">
        <v>123</v>
      </c>
      <c r="E458" s="2" t="s">
        <v>44</v>
      </c>
      <c r="F458" s="2" t="s">
        <v>17</v>
      </c>
      <c r="G458" s="2">
        <v>1</v>
      </c>
      <c r="H458" s="6">
        <v>15.99</v>
      </c>
      <c r="I458" s="4">
        <f t="shared" si="7"/>
        <v>15.99</v>
      </c>
      <c r="J458" s="2" t="s">
        <v>33</v>
      </c>
      <c r="K458" s="2" t="s">
        <v>129</v>
      </c>
      <c r="L458" s="2" t="s">
        <v>29</v>
      </c>
      <c r="M458" s="11" t="s">
        <v>697</v>
      </c>
    </row>
    <row r="459" spans="1:13" x14ac:dyDescent="0.25">
      <c r="A459" s="10">
        <v>1457</v>
      </c>
      <c r="B459" s="5" t="s">
        <v>697</v>
      </c>
      <c r="C459" s="2" t="s">
        <v>14</v>
      </c>
      <c r="D459" s="2" t="s">
        <v>15</v>
      </c>
      <c r="E459" s="2" t="s">
        <v>31</v>
      </c>
      <c r="F459" s="2" t="s">
        <v>32</v>
      </c>
      <c r="G459" s="4" t="s">
        <v>697</v>
      </c>
      <c r="H459" s="6">
        <v>79.989999999999995</v>
      </c>
      <c r="I459" s="4" t="str">
        <f t="shared" si="7"/>
        <v>N/A</v>
      </c>
      <c r="J459" s="2" t="s">
        <v>54</v>
      </c>
      <c r="K459" s="2" t="s">
        <v>28</v>
      </c>
      <c r="L459" s="2" t="s">
        <v>35</v>
      </c>
      <c r="M459" s="11" t="s">
        <v>697</v>
      </c>
    </row>
    <row r="460" spans="1:13" x14ac:dyDescent="0.25">
      <c r="A460" s="10">
        <v>1458</v>
      </c>
      <c r="B460" s="3">
        <v>45122</v>
      </c>
      <c r="C460" s="2" t="s">
        <v>42</v>
      </c>
      <c r="D460" s="2" t="s">
        <v>43</v>
      </c>
      <c r="E460" s="2" t="s">
        <v>72</v>
      </c>
      <c r="F460" s="2" t="s">
        <v>73</v>
      </c>
      <c r="G460" s="2">
        <v>5</v>
      </c>
      <c r="H460" s="6">
        <v>49.99</v>
      </c>
      <c r="I460" s="4">
        <f t="shared" si="7"/>
        <v>249.95000000000002</v>
      </c>
      <c r="J460" s="2" t="s">
        <v>33</v>
      </c>
      <c r="K460" s="2" t="s">
        <v>45</v>
      </c>
      <c r="L460" s="2" t="s">
        <v>35</v>
      </c>
      <c r="M460" s="12" t="s">
        <v>63</v>
      </c>
    </row>
    <row r="461" spans="1:13" x14ac:dyDescent="0.25">
      <c r="A461" s="10">
        <v>1459</v>
      </c>
      <c r="B461" s="5" t="s">
        <v>697</v>
      </c>
      <c r="C461" s="2" t="s">
        <v>65</v>
      </c>
      <c r="D461" s="2" t="s">
        <v>126</v>
      </c>
      <c r="E461" s="2" t="s">
        <v>85</v>
      </c>
      <c r="F461" s="2" t="s">
        <v>26</v>
      </c>
      <c r="G461" s="2">
        <v>4</v>
      </c>
      <c r="H461" s="6">
        <v>99.99</v>
      </c>
      <c r="I461" s="4">
        <f t="shared" si="7"/>
        <v>399.96</v>
      </c>
      <c r="J461" s="2" t="s">
        <v>33</v>
      </c>
      <c r="K461" s="2" t="s">
        <v>55</v>
      </c>
      <c r="L461" s="2" t="s">
        <v>35</v>
      </c>
      <c r="M461" s="11" t="s">
        <v>697</v>
      </c>
    </row>
    <row r="462" spans="1:13" x14ac:dyDescent="0.25">
      <c r="A462" s="10">
        <v>1460</v>
      </c>
      <c r="B462" s="3">
        <v>45014</v>
      </c>
      <c r="C462" s="2" t="s">
        <v>65</v>
      </c>
      <c r="D462" s="2" t="s">
        <v>126</v>
      </c>
      <c r="E462" s="2" t="s">
        <v>92</v>
      </c>
      <c r="F462" s="2" t="s">
        <v>26</v>
      </c>
      <c r="G462" s="2">
        <v>1</v>
      </c>
      <c r="H462" s="6">
        <v>14.99</v>
      </c>
      <c r="I462" s="4">
        <f t="shared" si="7"/>
        <v>14.99</v>
      </c>
      <c r="J462" s="2" t="s">
        <v>33</v>
      </c>
      <c r="K462" s="2" t="s">
        <v>55</v>
      </c>
      <c r="L462" s="2" t="s">
        <v>35</v>
      </c>
      <c r="M462" s="11" t="s">
        <v>697</v>
      </c>
    </row>
    <row r="463" spans="1:13" x14ac:dyDescent="0.25">
      <c r="A463" s="10">
        <v>1461</v>
      </c>
      <c r="B463" s="3">
        <v>45381</v>
      </c>
      <c r="C463" s="2" t="s">
        <v>42</v>
      </c>
      <c r="D463" s="2" t="s">
        <v>48</v>
      </c>
      <c r="E463" s="2" t="s">
        <v>127</v>
      </c>
      <c r="F463" s="2" t="s">
        <v>73</v>
      </c>
      <c r="G463" s="2">
        <v>1</v>
      </c>
      <c r="H463" s="6">
        <v>29.99</v>
      </c>
      <c r="I463" s="4">
        <f t="shared" si="7"/>
        <v>29.99</v>
      </c>
      <c r="J463" s="2" t="s">
        <v>33</v>
      </c>
      <c r="K463" s="2" t="s">
        <v>45</v>
      </c>
      <c r="L463" s="2" t="s">
        <v>35</v>
      </c>
      <c r="M463" s="11" t="s">
        <v>697</v>
      </c>
    </row>
    <row r="464" spans="1:13" x14ac:dyDescent="0.25">
      <c r="A464" s="10">
        <v>1462</v>
      </c>
      <c r="B464" s="3">
        <v>45267</v>
      </c>
      <c r="C464" s="2" t="s">
        <v>42</v>
      </c>
      <c r="D464" s="2" t="s">
        <v>48</v>
      </c>
      <c r="E464" s="2" t="s">
        <v>92</v>
      </c>
      <c r="F464" s="2" t="s">
        <v>26</v>
      </c>
      <c r="G464" s="2">
        <v>4</v>
      </c>
      <c r="H464" s="6">
        <v>14.99</v>
      </c>
      <c r="I464" s="4">
        <f t="shared" si="7"/>
        <v>59.96</v>
      </c>
      <c r="J464" s="2" t="s">
        <v>54</v>
      </c>
      <c r="K464" s="2" t="s">
        <v>129</v>
      </c>
      <c r="L464" s="2" t="s">
        <v>35</v>
      </c>
      <c r="M464" s="11" t="s">
        <v>697</v>
      </c>
    </row>
    <row r="465" spans="1:13" x14ac:dyDescent="0.25">
      <c r="A465" s="10">
        <v>1463</v>
      </c>
      <c r="B465" s="3">
        <v>45063</v>
      </c>
      <c r="C465" s="2" t="s">
        <v>65</v>
      </c>
      <c r="D465" s="2" t="s">
        <v>123</v>
      </c>
      <c r="E465" s="2" t="s">
        <v>72</v>
      </c>
      <c r="F465" s="2" t="s">
        <v>73</v>
      </c>
      <c r="G465" s="4" t="s">
        <v>697</v>
      </c>
      <c r="H465" s="6">
        <v>49.99</v>
      </c>
      <c r="I465" s="4" t="str">
        <f t="shared" si="7"/>
        <v>N/A</v>
      </c>
      <c r="J465" s="2" t="s">
        <v>33</v>
      </c>
      <c r="K465" s="2" t="s">
        <v>129</v>
      </c>
      <c r="L465" s="2" t="s">
        <v>35</v>
      </c>
      <c r="M465" s="12" t="s">
        <v>63</v>
      </c>
    </row>
    <row r="466" spans="1:13" x14ac:dyDescent="0.25">
      <c r="A466" s="10">
        <v>1464</v>
      </c>
      <c r="B466" s="3">
        <v>45116</v>
      </c>
      <c r="C466" s="2" t="s">
        <v>77</v>
      </c>
      <c r="D466" s="4" t="s">
        <v>697</v>
      </c>
      <c r="E466" s="2" t="s">
        <v>127</v>
      </c>
      <c r="F466" s="2" t="s">
        <v>73</v>
      </c>
      <c r="G466" s="2">
        <v>3</v>
      </c>
      <c r="H466" s="6">
        <v>29.99</v>
      </c>
      <c r="I466" s="4">
        <f t="shared" si="7"/>
        <v>89.97</v>
      </c>
      <c r="J466" s="2" t="s">
        <v>54</v>
      </c>
      <c r="K466" s="2" t="s">
        <v>28</v>
      </c>
      <c r="L466" s="2" t="s">
        <v>35</v>
      </c>
      <c r="M466" s="11" t="s">
        <v>697</v>
      </c>
    </row>
    <row r="467" spans="1:13" x14ac:dyDescent="0.25">
      <c r="A467" s="10">
        <v>1465</v>
      </c>
      <c r="B467" s="5" t="s">
        <v>697</v>
      </c>
      <c r="C467" s="2" t="s">
        <v>70</v>
      </c>
      <c r="D467" s="2" t="s">
        <v>88</v>
      </c>
      <c r="E467" s="2" t="s">
        <v>82</v>
      </c>
      <c r="F467" s="2" t="s">
        <v>60</v>
      </c>
      <c r="G467" s="2">
        <v>4</v>
      </c>
      <c r="H467" s="6">
        <v>4.99</v>
      </c>
      <c r="I467" s="4">
        <f t="shared" si="7"/>
        <v>19.96</v>
      </c>
      <c r="J467" s="2" t="s">
        <v>54</v>
      </c>
      <c r="K467" s="2" t="s">
        <v>129</v>
      </c>
      <c r="L467" s="2" t="s">
        <v>29</v>
      </c>
      <c r="M467" s="11" t="s">
        <v>697</v>
      </c>
    </row>
    <row r="468" spans="1:13" x14ac:dyDescent="0.25">
      <c r="A468" s="10">
        <v>1466</v>
      </c>
      <c r="B468" s="5" t="s">
        <v>697</v>
      </c>
      <c r="C468" s="2" t="s">
        <v>37</v>
      </c>
      <c r="D468" s="2" t="s">
        <v>169</v>
      </c>
      <c r="E468" s="2" t="s">
        <v>72</v>
      </c>
      <c r="F468" s="2" t="s">
        <v>73</v>
      </c>
      <c r="G468" s="4" t="s">
        <v>697</v>
      </c>
      <c r="H468" s="6">
        <v>49.99</v>
      </c>
      <c r="I468" s="4" t="str">
        <f t="shared" si="7"/>
        <v>N/A</v>
      </c>
      <c r="J468" s="2" t="s">
        <v>19</v>
      </c>
      <c r="K468" s="2" t="s">
        <v>55</v>
      </c>
      <c r="L468" s="2" t="s">
        <v>35</v>
      </c>
      <c r="M468" s="11" t="s">
        <v>697</v>
      </c>
    </row>
    <row r="469" spans="1:13" x14ac:dyDescent="0.25">
      <c r="A469" s="10">
        <v>1467</v>
      </c>
      <c r="B469" s="5" t="s">
        <v>697</v>
      </c>
      <c r="C469" s="2" t="s">
        <v>14</v>
      </c>
      <c r="D469" s="2" t="s">
        <v>84</v>
      </c>
      <c r="E469" s="2" t="s">
        <v>52</v>
      </c>
      <c r="F469" s="2" t="s">
        <v>53</v>
      </c>
      <c r="G469" s="2">
        <v>2</v>
      </c>
      <c r="H469" s="6">
        <v>59.99</v>
      </c>
      <c r="I469" s="4">
        <f t="shared" si="7"/>
        <v>119.98</v>
      </c>
      <c r="J469" s="2" t="s">
        <v>33</v>
      </c>
      <c r="K469" s="2" t="s">
        <v>28</v>
      </c>
      <c r="L469" s="2" t="s">
        <v>40</v>
      </c>
      <c r="M469" s="12" t="s">
        <v>63</v>
      </c>
    </row>
    <row r="470" spans="1:13" x14ac:dyDescent="0.25">
      <c r="A470" s="10">
        <v>1468</v>
      </c>
      <c r="B470" s="3">
        <v>45258</v>
      </c>
      <c r="C470" s="2" t="s">
        <v>37</v>
      </c>
      <c r="D470" s="2" t="s">
        <v>162</v>
      </c>
      <c r="E470" s="2" t="s">
        <v>127</v>
      </c>
      <c r="F470" s="2" t="s">
        <v>73</v>
      </c>
      <c r="G470" s="4" t="s">
        <v>697</v>
      </c>
      <c r="H470" s="6">
        <v>29.99</v>
      </c>
      <c r="I470" s="4" t="str">
        <f t="shared" si="7"/>
        <v>N/A</v>
      </c>
      <c r="J470" s="2" t="s">
        <v>33</v>
      </c>
      <c r="K470" s="2" t="s">
        <v>45</v>
      </c>
      <c r="L470" s="2" t="s">
        <v>35</v>
      </c>
      <c r="M470" s="11" t="s">
        <v>697</v>
      </c>
    </row>
    <row r="471" spans="1:13" x14ac:dyDescent="0.25">
      <c r="A471" s="10">
        <v>1469</v>
      </c>
      <c r="B471" s="3">
        <v>45369</v>
      </c>
      <c r="C471" s="2" t="s">
        <v>23</v>
      </c>
      <c r="D471" s="2" t="s">
        <v>124</v>
      </c>
      <c r="E471" s="2" t="s">
        <v>92</v>
      </c>
      <c r="F471" s="2" t="s">
        <v>26</v>
      </c>
      <c r="G471" s="4" t="s">
        <v>697</v>
      </c>
      <c r="H471" s="6">
        <v>14.99</v>
      </c>
      <c r="I471" s="4" t="str">
        <f t="shared" si="7"/>
        <v>N/A</v>
      </c>
      <c r="J471" s="2" t="s">
        <v>19</v>
      </c>
      <c r="K471" s="2" t="s">
        <v>28</v>
      </c>
      <c r="L471" s="2" t="s">
        <v>29</v>
      </c>
      <c r="M471" s="11" t="s">
        <v>697</v>
      </c>
    </row>
    <row r="472" spans="1:13" x14ac:dyDescent="0.25">
      <c r="A472" s="10">
        <v>1470</v>
      </c>
      <c r="B472" s="3">
        <v>45371</v>
      </c>
      <c r="C472" s="2" t="s">
        <v>14</v>
      </c>
      <c r="D472" s="2" t="s">
        <v>15</v>
      </c>
      <c r="E472" s="2" t="s">
        <v>85</v>
      </c>
      <c r="F472" s="2" t="s">
        <v>26</v>
      </c>
      <c r="G472" s="4" t="s">
        <v>697</v>
      </c>
      <c r="H472" s="6">
        <v>99.99</v>
      </c>
      <c r="I472" s="4" t="str">
        <f t="shared" si="7"/>
        <v>N/A</v>
      </c>
      <c r="J472" s="2" t="s">
        <v>54</v>
      </c>
      <c r="K472" s="2" t="s">
        <v>28</v>
      </c>
      <c r="L472" s="2" t="s">
        <v>40</v>
      </c>
      <c r="M472" s="11" t="s">
        <v>697</v>
      </c>
    </row>
    <row r="473" spans="1:13" x14ac:dyDescent="0.25">
      <c r="A473" s="10">
        <v>1471</v>
      </c>
      <c r="B473" s="3">
        <v>44997</v>
      </c>
      <c r="C473" s="2" t="s">
        <v>23</v>
      </c>
      <c r="D473" s="2" t="s">
        <v>24</v>
      </c>
      <c r="E473" s="2" t="s">
        <v>52</v>
      </c>
      <c r="F473" s="2" t="s">
        <v>53</v>
      </c>
      <c r="G473" s="4" t="s">
        <v>697</v>
      </c>
      <c r="H473" s="6">
        <v>59.99</v>
      </c>
      <c r="I473" s="4" t="str">
        <f t="shared" si="7"/>
        <v>N/A</v>
      </c>
      <c r="J473" s="2" t="s">
        <v>19</v>
      </c>
      <c r="K473" s="2" t="s">
        <v>45</v>
      </c>
      <c r="L473" s="2" t="s">
        <v>35</v>
      </c>
      <c r="M473" s="11" t="s">
        <v>697</v>
      </c>
    </row>
    <row r="474" spans="1:13" x14ac:dyDescent="0.25">
      <c r="A474" s="10">
        <v>1472</v>
      </c>
      <c r="B474" s="3">
        <v>45056</v>
      </c>
      <c r="C474" s="2" t="s">
        <v>23</v>
      </c>
      <c r="D474" s="2" t="s">
        <v>81</v>
      </c>
      <c r="E474" s="2" t="s">
        <v>85</v>
      </c>
      <c r="F474" s="2" t="s">
        <v>26</v>
      </c>
      <c r="G474" s="2">
        <v>2</v>
      </c>
      <c r="H474" s="6">
        <v>99.99</v>
      </c>
      <c r="I474" s="4">
        <f t="shared" si="7"/>
        <v>199.98</v>
      </c>
      <c r="J474" s="2" t="s">
        <v>33</v>
      </c>
      <c r="K474" s="2" t="s">
        <v>55</v>
      </c>
      <c r="L474" s="2" t="s">
        <v>29</v>
      </c>
      <c r="M474" s="11" t="s">
        <v>697</v>
      </c>
    </row>
    <row r="475" spans="1:13" x14ac:dyDescent="0.25">
      <c r="A475" s="10">
        <v>1473</v>
      </c>
      <c r="B475" s="3">
        <v>45422</v>
      </c>
      <c r="C475" s="2" t="s">
        <v>77</v>
      </c>
      <c r="D475" s="2" t="s">
        <v>78</v>
      </c>
      <c r="E475" s="2" t="s">
        <v>44</v>
      </c>
      <c r="F475" s="2" t="s">
        <v>17</v>
      </c>
      <c r="G475" s="4" t="s">
        <v>697</v>
      </c>
      <c r="H475" s="6">
        <v>15.99</v>
      </c>
      <c r="I475" s="4" t="str">
        <f t="shared" si="7"/>
        <v>N/A</v>
      </c>
      <c r="J475" s="2" t="s">
        <v>33</v>
      </c>
      <c r="K475" s="2" t="s">
        <v>28</v>
      </c>
      <c r="L475" s="2" t="s">
        <v>35</v>
      </c>
      <c r="M475" s="11" t="s">
        <v>697</v>
      </c>
    </row>
    <row r="476" spans="1:13" x14ac:dyDescent="0.25">
      <c r="A476" s="10">
        <v>1474</v>
      </c>
      <c r="B476" s="5" t="s">
        <v>697</v>
      </c>
      <c r="C476" s="2" t="s">
        <v>42</v>
      </c>
      <c r="D476" s="2" t="s">
        <v>116</v>
      </c>
      <c r="E476" s="2" t="s">
        <v>82</v>
      </c>
      <c r="F476" s="2" t="s">
        <v>60</v>
      </c>
      <c r="G476" s="2">
        <v>1</v>
      </c>
      <c r="H476" s="6">
        <v>4.99</v>
      </c>
      <c r="I476" s="4">
        <f t="shared" si="7"/>
        <v>4.99</v>
      </c>
      <c r="J476" s="2" t="s">
        <v>33</v>
      </c>
      <c r="K476" s="2" t="s">
        <v>45</v>
      </c>
      <c r="L476" s="2" t="s">
        <v>40</v>
      </c>
      <c r="M476" s="11" t="s">
        <v>697</v>
      </c>
    </row>
    <row r="477" spans="1:13" x14ac:dyDescent="0.25">
      <c r="A477" s="10">
        <v>1475</v>
      </c>
      <c r="B477" s="3">
        <v>45203</v>
      </c>
      <c r="C477" s="2" t="s">
        <v>14</v>
      </c>
      <c r="D477" s="4" t="s">
        <v>697</v>
      </c>
      <c r="E477" s="2" t="s">
        <v>31</v>
      </c>
      <c r="F477" s="2" t="s">
        <v>32</v>
      </c>
      <c r="G477" s="2">
        <v>5</v>
      </c>
      <c r="H477" s="6">
        <v>79.989999999999995</v>
      </c>
      <c r="I477" s="4">
        <f t="shared" si="7"/>
        <v>399.95</v>
      </c>
      <c r="J477" s="2" t="s">
        <v>54</v>
      </c>
      <c r="K477" s="2" t="s">
        <v>28</v>
      </c>
      <c r="L477" s="2" t="s">
        <v>35</v>
      </c>
      <c r="M477" s="11" t="s">
        <v>697</v>
      </c>
    </row>
    <row r="478" spans="1:13" x14ac:dyDescent="0.25">
      <c r="A478" s="10">
        <v>1476</v>
      </c>
      <c r="B478" s="3">
        <v>45233</v>
      </c>
      <c r="C478" s="2" t="s">
        <v>23</v>
      </c>
      <c r="D478" s="2" t="s">
        <v>81</v>
      </c>
      <c r="E478" s="2" t="s">
        <v>82</v>
      </c>
      <c r="F478" s="2" t="s">
        <v>60</v>
      </c>
      <c r="G478" s="2">
        <v>1</v>
      </c>
      <c r="H478" s="6">
        <v>4.99</v>
      </c>
      <c r="I478" s="4">
        <f t="shared" si="7"/>
        <v>4.99</v>
      </c>
      <c r="J478" s="2" t="s">
        <v>19</v>
      </c>
      <c r="K478" s="2" t="s">
        <v>129</v>
      </c>
      <c r="L478" s="2" t="s">
        <v>40</v>
      </c>
      <c r="M478" s="11" t="s">
        <v>697</v>
      </c>
    </row>
    <row r="479" spans="1:13" x14ac:dyDescent="0.25">
      <c r="A479" s="10">
        <v>1477</v>
      </c>
      <c r="B479" s="3">
        <v>45174</v>
      </c>
      <c r="C479" s="2" t="s">
        <v>23</v>
      </c>
      <c r="D479" s="2" t="s">
        <v>81</v>
      </c>
      <c r="E479" s="2" t="s">
        <v>52</v>
      </c>
      <c r="F479" s="2" t="s">
        <v>53</v>
      </c>
      <c r="G479" s="2">
        <v>3</v>
      </c>
      <c r="H479" s="6">
        <v>59.99</v>
      </c>
      <c r="I479" s="4">
        <f t="shared" si="7"/>
        <v>179.97</v>
      </c>
      <c r="J479" s="2" t="s">
        <v>33</v>
      </c>
      <c r="K479" s="2" t="s">
        <v>28</v>
      </c>
      <c r="L479" s="2" t="s">
        <v>35</v>
      </c>
      <c r="M479" s="11" t="s">
        <v>697</v>
      </c>
    </row>
    <row r="480" spans="1:13" x14ac:dyDescent="0.25">
      <c r="A480" s="10">
        <v>1478</v>
      </c>
      <c r="B480" s="3">
        <v>45261</v>
      </c>
      <c r="C480" s="2" t="s">
        <v>77</v>
      </c>
      <c r="D480" s="2" t="s">
        <v>91</v>
      </c>
      <c r="E480" s="2" t="s">
        <v>31</v>
      </c>
      <c r="F480" s="2" t="s">
        <v>32</v>
      </c>
      <c r="G480" s="2">
        <v>4</v>
      </c>
      <c r="H480" s="6">
        <v>79.989999999999995</v>
      </c>
      <c r="I480" s="4">
        <f t="shared" si="7"/>
        <v>319.95999999999998</v>
      </c>
      <c r="J480" s="2" t="s">
        <v>27</v>
      </c>
      <c r="K480" s="2" t="s">
        <v>55</v>
      </c>
      <c r="L480" s="2" t="s">
        <v>35</v>
      </c>
      <c r="M480" s="11" t="s">
        <v>697</v>
      </c>
    </row>
    <row r="481" spans="1:13" x14ac:dyDescent="0.25">
      <c r="A481" s="10">
        <v>1479</v>
      </c>
      <c r="B481" s="3">
        <v>45107</v>
      </c>
      <c r="C481" s="2" t="s">
        <v>23</v>
      </c>
      <c r="D481" s="2" t="s">
        <v>24</v>
      </c>
      <c r="E481" s="2" t="s">
        <v>127</v>
      </c>
      <c r="F481" s="2" t="s">
        <v>73</v>
      </c>
      <c r="G481" s="4" t="s">
        <v>697</v>
      </c>
      <c r="H481" s="6">
        <v>29.99</v>
      </c>
      <c r="I481" s="4" t="str">
        <f t="shared" si="7"/>
        <v>N/A</v>
      </c>
      <c r="J481" s="2" t="s">
        <v>33</v>
      </c>
      <c r="K481" s="2" t="s">
        <v>45</v>
      </c>
      <c r="L481" s="2" t="s">
        <v>35</v>
      </c>
      <c r="M481" s="11" t="s">
        <v>697</v>
      </c>
    </row>
    <row r="482" spans="1:13" x14ac:dyDescent="0.25">
      <c r="A482" s="10">
        <v>1480</v>
      </c>
      <c r="B482" s="5" t="s">
        <v>697</v>
      </c>
      <c r="C482" s="2" t="s">
        <v>14</v>
      </c>
      <c r="D482" s="2" t="s">
        <v>15</v>
      </c>
      <c r="E482" s="2" t="s">
        <v>82</v>
      </c>
      <c r="F482" s="2" t="s">
        <v>60</v>
      </c>
      <c r="G482" s="4" t="s">
        <v>697</v>
      </c>
      <c r="H482" s="6">
        <v>4.99</v>
      </c>
      <c r="I482" s="4" t="str">
        <f t="shared" si="7"/>
        <v>N/A</v>
      </c>
      <c r="J482" s="2" t="s">
        <v>19</v>
      </c>
      <c r="K482" s="2" t="s">
        <v>28</v>
      </c>
      <c r="L482" s="2" t="s">
        <v>35</v>
      </c>
      <c r="M482" s="11" t="s">
        <v>697</v>
      </c>
    </row>
    <row r="483" spans="1:13" x14ac:dyDescent="0.25">
      <c r="A483" s="10">
        <v>1481</v>
      </c>
      <c r="B483" s="3">
        <v>45172</v>
      </c>
      <c r="C483" s="2" t="s">
        <v>42</v>
      </c>
      <c r="D483" s="2" t="s">
        <v>116</v>
      </c>
      <c r="E483" s="2" t="s">
        <v>72</v>
      </c>
      <c r="F483" s="2" t="s">
        <v>73</v>
      </c>
      <c r="G483" s="2">
        <v>1</v>
      </c>
      <c r="H483" s="6">
        <v>49.99</v>
      </c>
      <c r="I483" s="4">
        <f t="shared" si="7"/>
        <v>49.99</v>
      </c>
      <c r="J483" s="2" t="s">
        <v>19</v>
      </c>
      <c r="K483" s="2" t="s">
        <v>28</v>
      </c>
      <c r="L483" s="2" t="s">
        <v>35</v>
      </c>
      <c r="M483" s="11" t="s">
        <v>697</v>
      </c>
    </row>
    <row r="484" spans="1:13" x14ac:dyDescent="0.25">
      <c r="A484" s="10">
        <v>1482</v>
      </c>
      <c r="B484" s="3">
        <v>45328</v>
      </c>
      <c r="C484" s="2" t="s">
        <v>23</v>
      </c>
      <c r="D484" s="2" t="s">
        <v>24</v>
      </c>
      <c r="E484" s="2" t="s">
        <v>85</v>
      </c>
      <c r="F484" s="2" t="s">
        <v>26</v>
      </c>
      <c r="G484" s="2">
        <v>4</v>
      </c>
      <c r="H484" s="6">
        <v>99.99</v>
      </c>
      <c r="I484" s="4">
        <f t="shared" si="7"/>
        <v>399.96</v>
      </c>
      <c r="J484" s="2" t="s">
        <v>54</v>
      </c>
      <c r="K484" s="2" t="s">
        <v>28</v>
      </c>
      <c r="L484" s="2" t="s">
        <v>35</v>
      </c>
      <c r="M484" s="11" t="s">
        <v>697</v>
      </c>
    </row>
    <row r="485" spans="1:13" x14ac:dyDescent="0.25">
      <c r="A485" s="10">
        <v>1483</v>
      </c>
      <c r="B485" s="5" t="s">
        <v>697</v>
      </c>
      <c r="C485" s="2" t="s">
        <v>14</v>
      </c>
      <c r="D485" s="2" t="s">
        <v>84</v>
      </c>
      <c r="E485" s="2" t="s">
        <v>39</v>
      </c>
      <c r="F485" s="2" t="s">
        <v>17</v>
      </c>
      <c r="G485" s="2">
        <v>2</v>
      </c>
      <c r="H485" s="6">
        <v>39.99</v>
      </c>
      <c r="I485" s="4">
        <f t="shared" si="7"/>
        <v>79.98</v>
      </c>
      <c r="J485" s="2" t="s">
        <v>27</v>
      </c>
      <c r="K485" s="2" t="s">
        <v>28</v>
      </c>
      <c r="L485" s="2" t="s">
        <v>35</v>
      </c>
      <c r="M485" s="11" t="s">
        <v>697</v>
      </c>
    </row>
    <row r="486" spans="1:13" x14ac:dyDescent="0.25">
      <c r="A486" s="10">
        <v>1484</v>
      </c>
      <c r="B486" s="5" t="s">
        <v>697</v>
      </c>
      <c r="C486" s="2" t="s">
        <v>70</v>
      </c>
      <c r="D486" s="2" t="s">
        <v>131</v>
      </c>
      <c r="E486" s="2" t="s">
        <v>127</v>
      </c>
      <c r="F486" s="2" t="s">
        <v>73</v>
      </c>
      <c r="G486" s="2">
        <v>5</v>
      </c>
      <c r="H486" s="6">
        <v>29.99</v>
      </c>
      <c r="I486" s="4">
        <f t="shared" si="7"/>
        <v>149.94999999999999</v>
      </c>
      <c r="J486" s="2" t="s">
        <v>19</v>
      </c>
      <c r="K486" s="2" t="s">
        <v>129</v>
      </c>
      <c r="L486" s="2" t="s">
        <v>40</v>
      </c>
      <c r="M486" s="11" t="s">
        <v>697</v>
      </c>
    </row>
    <row r="487" spans="1:13" x14ac:dyDescent="0.25">
      <c r="A487" s="10">
        <v>1485</v>
      </c>
      <c r="B487" s="3">
        <v>44952</v>
      </c>
      <c r="C487" s="2" t="s">
        <v>77</v>
      </c>
      <c r="D487" s="2" t="s">
        <v>78</v>
      </c>
      <c r="E487" s="2" t="s">
        <v>31</v>
      </c>
      <c r="F487" s="2" t="s">
        <v>32</v>
      </c>
      <c r="G487" s="2">
        <v>3</v>
      </c>
      <c r="H487" s="6">
        <v>79.989999999999995</v>
      </c>
      <c r="I487" s="4">
        <f t="shared" si="7"/>
        <v>239.96999999999997</v>
      </c>
      <c r="J487" s="2" t="s">
        <v>33</v>
      </c>
      <c r="K487" s="2" t="s">
        <v>28</v>
      </c>
      <c r="L487" s="2" t="s">
        <v>35</v>
      </c>
      <c r="M487" s="11" t="s">
        <v>697</v>
      </c>
    </row>
    <row r="488" spans="1:13" x14ac:dyDescent="0.25">
      <c r="A488" s="10">
        <v>1486</v>
      </c>
      <c r="B488" s="3">
        <v>45320</v>
      </c>
      <c r="C488" s="2" t="s">
        <v>697</v>
      </c>
      <c r="D488" s="2" t="s">
        <v>91</v>
      </c>
      <c r="E488" s="2" t="s">
        <v>52</v>
      </c>
      <c r="F488" s="2" t="s">
        <v>53</v>
      </c>
      <c r="G488" s="2">
        <v>1</v>
      </c>
      <c r="H488" s="6">
        <v>59.99</v>
      </c>
      <c r="I488" s="4">
        <f t="shared" si="7"/>
        <v>59.99</v>
      </c>
      <c r="J488" s="2" t="s">
        <v>54</v>
      </c>
      <c r="K488" s="2" t="s">
        <v>28</v>
      </c>
      <c r="L488" s="2" t="s">
        <v>40</v>
      </c>
      <c r="M488" s="11" t="s">
        <v>697</v>
      </c>
    </row>
    <row r="489" spans="1:13" x14ac:dyDescent="0.25">
      <c r="A489" s="10">
        <v>1487</v>
      </c>
      <c r="B489" s="3">
        <v>45379</v>
      </c>
      <c r="C489" s="2" t="s">
        <v>42</v>
      </c>
      <c r="D489" s="2" t="s">
        <v>116</v>
      </c>
      <c r="E489" s="2" t="s">
        <v>52</v>
      </c>
      <c r="F489" s="2" t="s">
        <v>53</v>
      </c>
      <c r="G489" s="2">
        <v>1</v>
      </c>
      <c r="H489" s="6">
        <v>59.99</v>
      </c>
      <c r="I489" s="4">
        <f t="shared" si="7"/>
        <v>59.99</v>
      </c>
      <c r="J489" s="2" t="s">
        <v>33</v>
      </c>
      <c r="K489" s="2" t="s">
        <v>28</v>
      </c>
      <c r="L489" s="2" t="s">
        <v>35</v>
      </c>
      <c r="M489" s="11" t="s">
        <v>697</v>
      </c>
    </row>
    <row r="490" spans="1:13" x14ac:dyDescent="0.25">
      <c r="A490" s="10">
        <v>1488</v>
      </c>
      <c r="B490" s="3">
        <v>45147</v>
      </c>
      <c r="C490" s="2" t="s">
        <v>697</v>
      </c>
      <c r="D490" s="2" t="s">
        <v>131</v>
      </c>
      <c r="E490" s="2" t="s">
        <v>82</v>
      </c>
      <c r="F490" s="2" t="s">
        <v>60</v>
      </c>
      <c r="G490" s="2">
        <v>1</v>
      </c>
      <c r="H490" s="6">
        <v>4.99</v>
      </c>
      <c r="I490" s="4">
        <f t="shared" si="7"/>
        <v>4.99</v>
      </c>
      <c r="J490" s="2" t="s">
        <v>33</v>
      </c>
      <c r="K490" s="2" t="s">
        <v>129</v>
      </c>
      <c r="L490" s="2" t="s">
        <v>35</v>
      </c>
      <c r="M490" s="11" t="s">
        <v>697</v>
      </c>
    </row>
    <row r="491" spans="1:13" x14ac:dyDescent="0.25">
      <c r="A491" s="10">
        <v>1489</v>
      </c>
      <c r="B491" s="3">
        <v>45162</v>
      </c>
      <c r="C491" s="2" t="s">
        <v>14</v>
      </c>
      <c r="D491" s="2" t="s">
        <v>84</v>
      </c>
      <c r="E491" s="2" t="s">
        <v>39</v>
      </c>
      <c r="F491" s="2" t="s">
        <v>17</v>
      </c>
      <c r="G491" s="2">
        <v>4</v>
      </c>
      <c r="H491" s="6">
        <v>39.99</v>
      </c>
      <c r="I491" s="4">
        <f t="shared" si="7"/>
        <v>159.96</v>
      </c>
      <c r="J491" s="2" t="s">
        <v>33</v>
      </c>
      <c r="K491" s="2" t="s">
        <v>28</v>
      </c>
      <c r="L491" s="2" t="s">
        <v>29</v>
      </c>
      <c r="M491" s="11" t="s">
        <v>697</v>
      </c>
    </row>
    <row r="492" spans="1:13" x14ac:dyDescent="0.25">
      <c r="A492" s="10">
        <v>1490</v>
      </c>
      <c r="B492" s="5" t="s">
        <v>697</v>
      </c>
      <c r="C492" s="2" t="s">
        <v>70</v>
      </c>
      <c r="D492" s="2" t="s">
        <v>71</v>
      </c>
      <c r="E492" s="2" t="s">
        <v>44</v>
      </c>
      <c r="F492" s="2" t="s">
        <v>17</v>
      </c>
      <c r="G492" s="2">
        <v>1</v>
      </c>
      <c r="H492" s="6">
        <v>15.99</v>
      </c>
      <c r="I492" s="4">
        <f t="shared" si="7"/>
        <v>15.99</v>
      </c>
      <c r="J492" s="2" t="s">
        <v>54</v>
      </c>
      <c r="K492" s="2" t="s">
        <v>129</v>
      </c>
      <c r="L492" s="2" t="s">
        <v>35</v>
      </c>
      <c r="M492" s="11" t="s">
        <v>697</v>
      </c>
    </row>
    <row r="493" spans="1:13" x14ac:dyDescent="0.25">
      <c r="A493" s="10">
        <v>1491</v>
      </c>
      <c r="B493" s="3">
        <v>45180</v>
      </c>
      <c r="C493" s="2" t="s">
        <v>77</v>
      </c>
      <c r="D493" s="2" t="s">
        <v>91</v>
      </c>
      <c r="E493" s="2" t="s">
        <v>85</v>
      </c>
      <c r="F493" s="2" t="s">
        <v>26</v>
      </c>
      <c r="G493" s="2">
        <v>1</v>
      </c>
      <c r="H493" s="6">
        <v>99.99</v>
      </c>
      <c r="I493" s="4">
        <f t="shared" si="7"/>
        <v>99.99</v>
      </c>
      <c r="J493" s="2" t="s">
        <v>33</v>
      </c>
      <c r="K493" s="2" t="s">
        <v>28</v>
      </c>
      <c r="L493" s="2" t="s">
        <v>40</v>
      </c>
      <c r="M493" s="11" t="s">
        <v>697</v>
      </c>
    </row>
    <row r="494" spans="1:13" x14ac:dyDescent="0.25">
      <c r="A494" s="10">
        <v>1492</v>
      </c>
      <c r="B494" s="5" t="s">
        <v>697</v>
      </c>
      <c r="C494" s="2" t="s">
        <v>697</v>
      </c>
      <c r="D494" s="2" t="s">
        <v>162</v>
      </c>
      <c r="E494" s="2" t="s">
        <v>72</v>
      </c>
      <c r="F494" s="2" t="s">
        <v>73</v>
      </c>
      <c r="G494" s="4" t="s">
        <v>697</v>
      </c>
      <c r="H494" s="6">
        <v>49.99</v>
      </c>
      <c r="I494" s="4" t="str">
        <f t="shared" si="7"/>
        <v>N/A</v>
      </c>
      <c r="J494" s="2" t="s">
        <v>54</v>
      </c>
      <c r="K494" s="2" t="s">
        <v>34</v>
      </c>
      <c r="L494" s="2" t="s">
        <v>35</v>
      </c>
      <c r="M494" s="12" t="s">
        <v>63</v>
      </c>
    </row>
    <row r="495" spans="1:13" x14ac:dyDescent="0.25">
      <c r="A495" s="10">
        <v>1493</v>
      </c>
      <c r="B495" s="3">
        <v>44988</v>
      </c>
      <c r="C495" s="2" t="s">
        <v>65</v>
      </c>
      <c r="D495" s="2" t="s">
        <v>123</v>
      </c>
      <c r="E495" s="2" t="s">
        <v>52</v>
      </c>
      <c r="F495" s="2" t="s">
        <v>53</v>
      </c>
      <c r="G495" s="4" t="s">
        <v>697</v>
      </c>
      <c r="H495" s="6">
        <v>59.99</v>
      </c>
      <c r="I495" s="4" t="str">
        <f t="shared" si="7"/>
        <v>N/A</v>
      </c>
      <c r="J495" s="2" t="s">
        <v>33</v>
      </c>
      <c r="K495" s="2" t="s">
        <v>45</v>
      </c>
      <c r="L495" s="2" t="s">
        <v>35</v>
      </c>
      <c r="M495" s="11" t="s">
        <v>697</v>
      </c>
    </row>
    <row r="496" spans="1:13" x14ac:dyDescent="0.25">
      <c r="A496" s="10">
        <v>1494</v>
      </c>
      <c r="B496" s="3">
        <v>45369</v>
      </c>
      <c r="C496" s="2" t="s">
        <v>77</v>
      </c>
      <c r="D496" s="2" t="s">
        <v>78</v>
      </c>
      <c r="E496" s="2" t="s">
        <v>31</v>
      </c>
      <c r="F496" s="2" t="s">
        <v>32</v>
      </c>
      <c r="G496" s="2">
        <v>3</v>
      </c>
      <c r="H496" s="6">
        <v>79.989999999999995</v>
      </c>
      <c r="I496" s="4">
        <f t="shared" si="7"/>
        <v>239.96999999999997</v>
      </c>
      <c r="J496" s="2" t="s">
        <v>19</v>
      </c>
      <c r="K496" s="2" t="s">
        <v>28</v>
      </c>
      <c r="L496" s="2" t="s">
        <v>35</v>
      </c>
      <c r="M496" s="11" t="s">
        <v>697</v>
      </c>
    </row>
    <row r="497" spans="1:13" x14ac:dyDescent="0.25">
      <c r="A497" s="10">
        <v>1495</v>
      </c>
      <c r="B497" s="3">
        <v>44973</v>
      </c>
      <c r="C497" s="2" t="s">
        <v>14</v>
      </c>
      <c r="D497" s="4" t="s">
        <v>697</v>
      </c>
      <c r="E497" s="2" t="s">
        <v>31</v>
      </c>
      <c r="F497" s="2" t="s">
        <v>32</v>
      </c>
      <c r="G497" s="2">
        <v>4</v>
      </c>
      <c r="H497" s="6">
        <v>79.989999999999995</v>
      </c>
      <c r="I497" s="4">
        <f t="shared" si="7"/>
        <v>319.95999999999998</v>
      </c>
      <c r="J497" s="2" t="s">
        <v>19</v>
      </c>
      <c r="K497" s="2" t="s">
        <v>34</v>
      </c>
      <c r="L497" s="2" t="s">
        <v>35</v>
      </c>
      <c r="M497" s="11" t="s">
        <v>697</v>
      </c>
    </row>
    <row r="498" spans="1:13" x14ac:dyDescent="0.25">
      <c r="A498" s="10">
        <v>1496</v>
      </c>
      <c r="B498" s="3">
        <v>45341</v>
      </c>
      <c r="C498" s="2" t="s">
        <v>37</v>
      </c>
      <c r="D498" s="2" t="s">
        <v>162</v>
      </c>
      <c r="E498" s="2" t="s">
        <v>85</v>
      </c>
      <c r="F498" s="2" t="s">
        <v>26</v>
      </c>
      <c r="G498" s="4" t="s">
        <v>697</v>
      </c>
      <c r="H498" s="6">
        <v>99.99</v>
      </c>
      <c r="I498" s="4" t="str">
        <f t="shared" si="7"/>
        <v>N/A</v>
      </c>
      <c r="J498" s="2" t="s">
        <v>54</v>
      </c>
      <c r="K498" s="2" t="s">
        <v>55</v>
      </c>
      <c r="L498" s="2" t="s">
        <v>35</v>
      </c>
      <c r="M498" s="11" t="s">
        <v>697</v>
      </c>
    </row>
    <row r="499" spans="1:13" x14ac:dyDescent="0.25">
      <c r="A499" s="10">
        <v>1497</v>
      </c>
      <c r="B499" s="5" t="s">
        <v>697</v>
      </c>
      <c r="C499" s="2" t="s">
        <v>37</v>
      </c>
      <c r="D499" s="2" t="s">
        <v>162</v>
      </c>
      <c r="E499" s="2" t="s">
        <v>31</v>
      </c>
      <c r="F499" s="2" t="s">
        <v>32</v>
      </c>
      <c r="G499" s="2">
        <v>2</v>
      </c>
      <c r="H499" s="6">
        <v>79.989999999999995</v>
      </c>
      <c r="I499" s="4">
        <f t="shared" si="7"/>
        <v>159.97999999999999</v>
      </c>
      <c r="J499" s="2" t="s">
        <v>33</v>
      </c>
      <c r="K499" s="2" t="s">
        <v>28</v>
      </c>
      <c r="L499" s="2" t="s">
        <v>29</v>
      </c>
      <c r="M499" s="11" t="s">
        <v>697</v>
      </c>
    </row>
    <row r="500" spans="1:13" x14ac:dyDescent="0.25">
      <c r="A500" s="10">
        <v>1498</v>
      </c>
      <c r="B500" s="3">
        <v>45001</v>
      </c>
      <c r="C500" s="2" t="s">
        <v>65</v>
      </c>
      <c r="D500" s="2" t="s">
        <v>123</v>
      </c>
      <c r="E500" s="2" t="s">
        <v>85</v>
      </c>
      <c r="F500" s="2" t="s">
        <v>26</v>
      </c>
      <c r="G500" s="2">
        <v>3</v>
      </c>
      <c r="H500" s="6">
        <v>99.99</v>
      </c>
      <c r="I500" s="4">
        <f t="shared" si="7"/>
        <v>299.96999999999997</v>
      </c>
      <c r="J500" s="2" t="s">
        <v>33</v>
      </c>
      <c r="K500" s="2" t="s">
        <v>28</v>
      </c>
      <c r="L500" s="2" t="s">
        <v>35</v>
      </c>
      <c r="M500" s="11" t="s">
        <v>697</v>
      </c>
    </row>
    <row r="501" spans="1:13" x14ac:dyDescent="0.25">
      <c r="A501" s="10">
        <v>1499</v>
      </c>
      <c r="B501" s="5" t="s">
        <v>697</v>
      </c>
      <c r="C501" s="2" t="s">
        <v>14</v>
      </c>
      <c r="D501" s="2" t="s">
        <v>84</v>
      </c>
      <c r="E501" s="2" t="s">
        <v>39</v>
      </c>
      <c r="F501" s="2" t="s">
        <v>17</v>
      </c>
      <c r="G501" s="2">
        <v>1</v>
      </c>
      <c r="H501" s="6">
        <v>39.99</v>
      </c>
      <c r="I501" s="4">
        <f t="shared" si="7"/>
        <v>39.99</v>
      </c>
      <c r="J501" s="2" t="s">
        <v>33</v>
      </c>
      <c r="K501" s="2" t="s">
        <v>129</v>
      </c>
      <c r="L501" s="2" t="s">
        <v>35</v>
      </c>
      <c r="M501" s="11" t="s">
        <v>697</v>
      </c>
    </row>
    <row r="502" spans="1:13" x14ac:dyDescent="0.25">
      <c r="A502" s="10">
        <v>1500</v>
      </c>
      <c r="B502" s="3">
        <v>45203</v>
      </c>
      <c r="C502" s="2" t="s">
        <v>37</v>
      </c>
      <c r="D502" s="2" t="s">
        <v>38</v>
      </c>
      <c r="E502" s="2" t="s">
        <v>127</v>
      </c>
      <c r="F502" s="2" t="s">
        <v>73</v>
      </c>
      <c r="G502" s="2">
        <v>4</v>
      </c>
      <c r="H502" s="6">
        <v>29.99</v>
      </c>
      <c r="I502" s="4">
        <f t="shared" si="7"/>
        <v>119.96</v>
      </c>
      <c r="J502" s="2" t="s">
        <v>33</v>
      </c>
      <c r="K502" s="2" t="s">
        <v>129</v>
      </c>
      <c r="L502" s="2" t="s">
        <v>35</v>
      </c>
      <c r="M502" s="11" t="s">
        <v>697</v>
      </c>
    </row>
    <row r="503" spans="1:13" x14ac:dyDescent="0.25">
      <c r="A503" s="10">
        <v>1501</v>
      </c>
      <c r="B503" s="3">
        <v>45337</v>
      </c>
      <c r="C503" s="2" t="s">
        <v>70</v>
      </c>
      <c r="D503" s="2" t="s">
        <v>88</v>
      </c>
      <c r="E503" s="2" t="s">
        <v>92</v>
      </c>
      <c r="F503" s="2" t="s">
        <v>26</v>
      </c>
      <c r="G503" s="2">
        <v>1</v>
      </c>
      <c r="H503" s="6">
        <v>14.99</v>
      </c>
      <c r="I503" s="4">
        <f t="shared" si="7"/>
        <v>14.99</v>
      </c>
      <c r="J503" s="2" t="s">
        <v>54</v>
      </c>
      <c r="K503" s="2" t="s">
        <v>28</v>
      </c>
      <c r="L503" s="2" t="s">
        <v>35</v>
      </c>
      <c r="M503" s="11" t="s">
        <v>697</v>
      </c>
    </row>
    <row r="504" spans="1:13" x14ac:dyDescent="0.25">
      <c r="A504" s="10">
        <v>1502</v>
      </c>
      <c r="B504" s="3">
        <v>45048</v>
      </c>
      <c r="C504" s="2" t="s">
        <v>42</v>
      </c>
      <c r="D504" s="2" t="s">
        <v>48</v>
      </c>
      <c r="E504" s="2" t="s">
        <v>92</v>
      </c>
      <c r="F504" s="2" t="s">
        <v>26</v>
      </c>
      <c r="G504" s="4" t="s">
        <v>697</v>
      </c>
      <c r="H504" s="6">
        <v>14.99</v>
      </c>
      <c r="I504" s="4" t="str">
        <f t="shared" si="7"/>
        <v>N/A</v>
      </c>
      <c r="J504" s="2" t="s">
        <v>33</v>
      </c>
      <c r="K504" s="2" t="s">
        <v>45</v>
      </c>
      <c r="L504" s="2" t="s">
        <v>40</v>
      </c>
      <c r="M504" s="11" t="s">
        <v>697</v>
      </c>
    </row>
    <row r="505" spans="1:13" x14ac:dyDescent="0.25">
      <c r="A505" s="10">
        <v>1503</v>
      </c>
      <c r="B505" s="3">
        <v>45318</v>
      </c>
      <c r="C505" s="2" t="s">
        <v>42</v>
      </c>
      <c r="D505" s="2" t="s">
        <v>48</v>
      </c>
      <c r="E505" s="2" t="s">
        <v>92</v>
      </c>
      <c r="F505" s="2" t="s">
        <v>26</v>
      </c>
      <c r="G505" s="4" t="s">
        <v>697</v>
      </c>
      <c r="H505" s="6">
        <v>14.99</v>
      </c>
      <c r="I505" s="4" t="str">
        <f t="shared" si="7"/>
        <v>N/A</v>
      </c>
      <c r="J505" s="2" t="s">
        <v>19</v>
      </c>
      <c r="K505" s="2" t="s">
        <v>34</v>
      </c>
      <c r="L505" s="2" t="s">
        <v>35</v>
      </c>
      <c r="M505" s="11" t="s">
        <v>697</v>
      </c>
    </row>
    <row r="506" spans="1:13" x14ac:dyDescent="0.25">
      <c r="A506" s="10">
        <v>1504</v>
      </c>
      <c r="B506" s="3">
        <v>45161</v>
      </c>
      <c r="C506" s="2" t="s">
        <v>70</v>
      </c>
      <c r="D506" s="2" t="s">
        <v>131</v>
      </c>
      <c r="E506" s="2" t="s">
        <v>52</v>
      </c>
      <c r="F506" s="2" t="s">
        <v>53</v>
      </c>
      <c r="G506" s="4" t="s">
        <v>697</v>
      </c>
      <c r="H506" s="6">
        <v>59.99</v>
      </c>
      <c r="I506" s="4" t="str">
        <f t="shared" si="7"/>
        <v>N/A</v>
      </c>
      <c r="J506" s="2" t="s">
        <v>33</v>
      </c>
      <c r="K506" s="2" t="s">
        <v>45</v>
      </c>
      <c r="L506" s="2" t="s">
        <v>40</v>
      </c>
      <c r="M506" s="11" t="s">
        <v>697</v>
      </c>
    </row>
    <row r="507" spans="1:13" x14ac:dyDescent="0.25">
      <c r="A507" s="10">
        <v>1505</v>
      </c>
      <c r="B507" s="3">
        <v>45159</v>
      </c>
      <c r="C507" s="2" t="s">
        <v>14</v>
      </c>
      <c r="D507" s="2" t="s">
        <v>15</v>
      </c>
      <c r="E507" s="2" t="s">
        <v>39</v>
      </c>
      <c r="F507" s="2" t="s">
        <v>17</v>
      </c>
      <c r="G507" s="2">
        <v>3</v>
      </c>
      <c r="H507" s="6">
        <v>39.99</v>
      </c>
      <c r="I507" s="4">
        <f t="shared" si="7"/>
        <v>119.97</v>
      </c>
      <c r="J507" s="2" t="s">
        <v>19</v>
      </c>
      <c r="K507" s="2" t="s">
        <v>28</v>
      </c>
      <c r="L507" s="2" t="s">
        <v>29</v>
      </c>
      <c r="M507" s="11" t="s">
        <v>697</v>
      </c>
    </row>
    <row r="508" spans="1:13" x14ac:dyDescent="0.25">
      <c r="A508" s="10">
        <v>1506</v>
      </c>
      <c r="B508" s="3">
        <v>45398</v>
      </c>
      <c r="C508" s="2" t="s">
        <v>65</v>
      </c>
      <c r="D508" s="2" t="s">
        <v>126</v>
      </c>
      <c r="E508" s="2" t="s">
        <v>31</v>
      </c>
      <c r="F508" s="2" t="s">
        <v>32</v>
      </c>
      <c r="G508" s="2">
        <v>5</v>
      </c>
      <c r="H508" s="6">
        <v>79.989999999999995</v>
      </c>
      <c r="I508" s="4">
        <f t="shared" si="7"/>
        <v>399.95</v>
      </c>
      <c r="J508" s="2" t="s">
        <v>33</v>
      </c>
      <c r="K508" s="2" t="s">
        <v>55</v>
      </c>
      <c r="L508" s="2" t="s">
        <v>35</v>
      </c>
      <c r="M508" s="11" t="s">
        <v>697</v>
      </c>
    </row>
    <row r="509" spans="1:13" x14ac:dyDescent="0.25">
      <c r="A509" s="10">
        <v>1507</v>
      </c>
      <c r="B509" s="3">
        <v>45151</v>
      </c>
      <c r="C509" s="2" t="s">
        <v>23</v>
      </c>
      <c r="D509" s="2" t="s">
        <v>124</v>
      </c>
      <c r="E509" s="2" t="s">
        <v>52</v>
      </c>
      <c r="F509" s="2" t="s">
        <v>53</v>
      </c>
      <c r="G509" s="4" t="s">
        <v>697</v>
      </c>
      <c r="H509" s="6">
        <v>59.99</v>
      </c>
      <c r="I509" s="4" t="str">
        <f t="shared" si="7"/>
        <v>N/A</v>
      </c>
      <c r="J509" s="2" t="s">
        <v>19</v>
      </c>
      <c r="K509" s="2" t="s">
        <v>45</v>
      </c>
      <c r="L509" s="2" t="s">
        <v>35</v>
      </c>
      <c r="M509" s="11" t="s">
        <v>697</v>
      </c>
    </row>
    <row r="510" spans="1:13" x14ac:dyDescent="0.25">
      <c r="A510" s="10">
        <v>1508</v>
      </c>
      <c r="B510" s="3">
        <v>45303</v>
      </c>
      <c r="C510" s="2" t="s">
        <v>37</v>
      </c>
      <c r="D510" s="4" t="s">
        <v>697</v>
      </c>
      <c r="E510" s="2" t="s">
        <v>92</v>
      </c>
      <c r="F510" s="2" t="s">
        <v>26</v>
      </c>
      <c r="G510" s="4" t="s">
        <v>697</v>
      </c>
      <c r="H510" s="6">
        <v>14.99</v>
      </c>
      <c r="I510" s="4" t="str">
        <f t="shared" si="7"/>
        <v>N/A</v>
      </c>
      <c r="J510" s="2" t="s">
        <v>33</v>
      </c>
      <c r="K510" s="2" t="s">
        <v>55</v>
      </c>
      <c r="L510" s="2" t="s">
        <v>35</v>
      </c>
      <c r="M510" s="11" t="s">
        <v>697</v>
      </c>
    </row>
    <row r="511" spans="1:13" x14ac:dyDescent="0.25">
      <c r="A511" s="10">
        <v>1509</v>
      </c>
      <c r="B511" s="3">
        <v>45127</v>
      </c>
      <c r="C511" s="2" t="s">
        <v>14</v>
      </c>
      <c r="D511" s="2" t="s">
        <v>84</v>
      </c>
      <c r="E511" s="2" t="s">
        <v>44</v>
      </c>
      <c r="F511" s="2" t="s">
        <v>17</v>
      </c>
      <c r="G511" s="2">
        <v>1</v>
      </c>
      <c r="H511" s="6">
        <v>15.99</v>
      </c>
      <c r="I511" s="4">
        <f t="shared" si="7"/>
        <v>15.99</v>
      </c>
      <c r="J511" s="2" t="s">
        <v>33</v>
      </c>
      <c r="K511" s="2" t="s">
        <v>129</v>
      </c>
      <c r="L511" s="2" t="s">
        <v>35</v>
      </c>
      <c r="M511" s="11" t="s">
        <v>697</v>
      </c>
    </row>
    <row r="512" spans="1:13" x14ac:dyDescent="0.25">
      <c r="A512" s="10">
        <v>1510</v>
      </c>
      <c r="B512" s="5" t="s">
        <v>697</v>
      </c>
      <c r="C512" s="2" t="s">
        <v>77</v>
      </c>
      <c r="D512" s="2" t="s">
        <v>91</v>
      </c>
      <c r="E512" s="2" t="s">
        <v>72</v>
      </c>
      <c r="F512" s="2" t="s">
        <v>73</v>
      </c>
      <c r="G512" s="2">
        <v>3</v>
      </c>
      <c r="H512" s="6">
        <v>49.99</v>
      </c>
      <c r="I512" s="4">
        <f t="shared" si="7"/>
        <v>149.97</v>
      </c>
      <c r="J512" s="2" t="s">
        <v>33</v>
      </c>
      <c r="K512" s="2" t="s">
        <v>45</v>
      </c>
      <c r="L512" s="2" t="s">
        <v>35</v>
      </c>
      <c r="M512" s="11" t="s">
        <v>697</v>
      </c>
    </row>
    <row r="513" spans="1:13" x14ac:dyDescent="0.25">
      <c r="A513" s="10">
        <v>1511</v>
      </c>
      <c r="B513" s="3">
        <v>45383</v>
      </c>
      <c r="C513" s="2" t="s">
        <v>65</v>
      </c>
      <c r="D513" s="2" t="s">
        <v>123</v>
      </c>
      <c r="E513" s="2" t="s">
        <v>72</v>
      </c>
      <c r="F513" s="2" t="s">
        <v>73</v>
      </c>
      <c r="G513" s="4" t="s">
        <v>697</v>
      </c>
      <c r="H513" s="6">
        <v>49.99</v>
      </c>
      <c r="I513" s="4" t="str">
        <f t="shared" si="7"/>
        <v>N/A</v>
      </c>
      <c r="J513" s="2" t="s">
        <v>33</v>
      </c>
      <c r="K513" s="2" t="s">
        <v>28</v>
      </c>
      <c r="L513" s="2" t="s">
        <v>40</v>
      </c>
      <c r="M513" s="11" t="s">
        <v>697</v>
      </c>
    </row>
    <row r="514" spans="1:13" x14ac:dyDescent="0.25">
      <c r="A514" s="10">
        <v>1512</v>
      </c>
      <c r="B514" s="3">
        <v>45004</v>
      </c>
      <c r="C514" s="2" t="s">
        <v>70</v>
      </c>
      <c r="D514" s="2" t="s">
        <v>131</v>
      </c>
      <c r="E514" s="2" t="s">
        <v>82</v>
      </c>
      <c r="F514" s="2" t="s">
        <v>60</v>
      </c>
      <c r="G514" s="2">
        <v>4</v>
      </c>
      <c r="H514" s="6">
        <v>4.99</v>
      </c>
      <c r="I514" s="4">
        <f t="shared" si="7"/>
        <v>19.96</v>
      </c>
      <c r="J514" s="2" t="s">
        <v>54</v>
      </c>
      <c r="K514" s="2" t="s">
        <v>55</v>
      </c>
      <c r="L514" s="2" t="s">
        <v>40</v>
      </c>
      <c r="M514" s="11" t="s">
        <v>697</v>
      </c>
    </row>
    <row r="515" spans="1:13" x14ac:dyDescent="0.25">
      <c r="A515" s="10">
        <v>1513</v>
      </c>
      <c r="B515" s="5" t="s">
        <v>697</v>
      </c>
      <c r="C515" s="2" t="s">
        <v>23</v>
      </c>
      <c r="D515" s="2" t="s">
        <v>24</v>
      </c>
      <c r="E515" s="2" t="s">
        <v>52</v>
      </c>
      <c r="F515" s="2" t="s">
        <v>53</v>
      </c>
      <c r="G515" s="4" t="s">
        <v>697</v>
      </c>
      <c r="H515" s="6">
        <v>59.99</v>
      </c>
      <c r="I515" s="4" t="str">
        <f t="shared" ref="I515:I578" si="8">IF(G515="N/A","N/A",PRODUCT(G515,H515))</f>
        <v>N/A</v>
      </c>
      <c r="J515" s="2" t="s">
        <v>33</v>
      </c>
      <c r="K515" s="2" t="s">
        <v>28</v>
      </c>
      <c r="L515" s="2" t="s">
        <v>35</v>
      </c>
      <c r="M515" s="11" t="s">
        <v>697</v>
      </c>
    </row>
    <row r="516" spans="1:13" x14ac:dyDescent="0.25">
      <c r="A516" s="10">
        <v>1514</v>
      </c>
      <c r="B516" s="3">
        <v>45161</v>
      </c>
      <c r="C516" s="2" t="s">
        <v>42</v>
      </c>
      <c r="D516" s="2" t="s">
        <v>43</v>
      </c>
      <c r="E516" s="2" t="s">
        <v>72</v>
      </c>
      <c r="F516" s="2" t="s">
        <v>73</v>
      </c>
      <c r="G516" s="2">
        <v>3</v>
      </c>
      <c r="H516" s="6">
        <v>49.99</v>
      </c>
      <c r="I516" s="4">
        <f t="shared" si="8"/>
        <v>149.97</v>
      </c>
      <c r="J516" s="2" t="s">
        <v>33</v>
      </c>
      <c r="K516" s="2" t="s">
        <v>28</v>
      </c>
      <c r="L516" s="2" t="s">
        <v>35</v>
      </c>
      <c r="M516" s="11" t="s">
        <v>697</v>
      </c>
    </row>
    <row r="517" spans="1:13" x14ac:dyDescent="0.25">
      <c r="A517" s="10">
        <v>1515</v>
      </c>
      <c r="B517" s="3">
        <v>45136</v>
      </c>
      <c r="C517" s="2" t="s">
        <v>65</v>
      </c>
      <c r="D517" s="2" t="s">
        <v>123</v>
      </c>
      <c r="E517" s="2" t="s">
        <v>44</v>
      </c>
      <c r="F517" s="2" t="s">
        <v>17</v>
      </c>
      <c r="G517" s="2">
        <v>5</v>
      </c>
      <c r="H517" s="6">
        <v>15.99</v>
      </c>
      <c r="I517" s="4">
        <f t="shared" si="8"/>
        <v>79.95</v>
      </c>
      <c r="J517" s="2" t="s">
        <v>33</v>
      </c>
      <c r="K517" s="2" t="s">
        <v>45</v>
      </c>
      <c r="L517" s="2" t="s">
        <v>35</v>
      </c>
      <c r="M517" s="12" t="s">
        <v>63</v>
      </c>
    </row>
    <row r="518" spans="1:13" x14ac:dyDescent="0.25">
      <c r="A518" s="10">
        <v>1516</v>
      </c>
      <c r="B518" s="3">
        <v>45102</v>
      </c>
      <c r="C518" s="2" t="s">
        <v>14</v>
      </c>
      <c r="D518" s="2" t="s">
        <v>15</v>
      </c>
      <c r="E518" s="2" t="s">
        <v>85</v>
      </c>
      <c r="F518" s="2" t="s">
        <v>26</v>
      </c>
      <c r="G518" s="4" t="s">
        <v>697</v>
      </c>
      <c r="H518" s="6">
        <v>99.99</v>
      </c>
      <c r="I518" s="4" t="str">
        <f t="shared" si="8"/>
        <v>N/A</v>
      </c>
      <c r="J518" s="2" t="s">
        <v>33</v>
      </c>
      <c r="K518" s="2" t="s">
        <v>28</v>
      </c>
      <c r="L518" s="2" t="s">
        <v>35</v>
      </c>
      <c r="M518" s="11" t="s">
        <v>697</v>
      </c>
    </row>
    <row r="519" spans="1:13" x14ac:dyDescent="0.25">
      <c r="A519" s="10">
        <v>1517</v>
      </c>
      <c r="B519" s="3">
        <v>45347</v>
      </c>
      <c r="C519" s="2" t="s">
        <v>14</v>
      </c>
      <c r="D519" s="2" t="s">
        <v>15</v>
      </c>
      <c r="E519" s="2" t="s">
        <v>31</v>
      </c>
      <c r="F519" s="2" t="s">
        <v>32</v>
      </c>
      <c r="G519" s="2">
        <v>3</v>
      </c>
      <c r="H519" s="6">
        <v>79.989999999999995</v>
      </c>
      <c r="I519" s="4">
        <f t="shared" si="8"/>
        <v>239.96999999999997</v>
      </c>
      <c r="J519" s="2" t="s">
        <v>33</v>
      </c>
      <c r="K519" s="2" t="s">
        <v>45</v>
      </c>
      <c r="L519" s="2" t="s">
        <v>35</v>
      </c>
      <c r="M519" s="11" t="s">
        <v>697</v>
      </c>
    </row>
    <row r="520" spans="1:13" x14ac:dyDescent="0.25">
      <c r="A520" s="10">
        <v>1518</v>
      </c>
      <c r="B520" s="3">
        <v>45262</v>
      </c>
      <c r="C520" s="2" t="s">
        <v>37</v>
      </c>
      <c r="D520" s="2" t="s">
        <v>162</v>
      </c>
      <c r="E520" s="2" t="s">
        <v>52</v>
      </c>
      <c r="F520" s="2" t="s">
        <v>53</v>
      </c>
      <c r="G520" s="2">
        <v>1</v>
      </c>
      <c r="H520" s="6">
        <v>59.99</v>
      </c>
      <c r="I520" s="4">
        <f t="shared" si="8"/>
        <v>59.99</v>
      </c>
      <c r="J520" s="2" t="s">
        <v>54</v>
      </c>
      <c r="K520" s="2" t="s">
        <v>28</v>
      </c>
      <c r="L520" s="2" t="s">
        <v>35</v>
      </c>
      <c r="M520" s="11" t="s">
        <v>697</v>
      </c>
    </row>
    <row r="521" spans="1:13" x14ac:dyDescent="0.25">
      <c r="A521" s="10">
        <v>1519</v>
      </c>
      <c r="B521" s="3">
        <v>45294</v>
      </c>
      <c r="C521" s="2" t="s">
        <v>70</v>
      </c>
      <c r="D521" s="2" t="s">
        <v>88</v>
      </c>
      <c r="E521" s="2" t="s">
        <v>44</v>
      </c>
      <c r="F521" s="2" t="s">
        <v>17</v>
      </c>
      <c r="G521" s="2">
        <v>3</v>
      </c>
      <c r="H521" s="6">
        <v>15.99</v>
      </c>
      <c r="I521" s="4">
        <f t="shared" si="8"/>
        <v>47.97</v>
      </c>
      <c r="J521" s="2" t="s">
        <v>27</v>
      </c>
      <c r="K521" s="2" t="s">
        <v>45</v>
      </c>
      <c r="L521" s="2" t="s">
        <v>35</v>
      </c>
      <c r="M521" s="11" t="s">
        <v>697</v>
      </c>
    </row>
    <row r="522" spans="1:13" x14ac:dyDescent="0.25">
      <c r="A522" s="10">
        <v>1520</v>
      </c>
      <c r="B522" s="3">
        <v>45134</v>
      </c>
      <c r="C522" s="2" t="s">
        <v>42</v>
      </c>
      <c r="D522" s="4" t="s">
        <v>697</v>
      </c>
      <c r="E522" s="2" t="s">
        <v>44</v>
      </c>
      <c r="F522" s="2" t="s">
        <v>17</v>
      </c>
      <c r="G522" s="2">
        <v>4</v>
      </c>
      <c r="H522" s="6">
        <v>15.99</v>
      </c>
      <c r="I522" s="4">
        <f t="shared" si="8"/>
        <v>63.96</v>
      </c>
      <c r="J522" s="2" t="s">
        <v>33</v>
      </c>
      <c r="K522" s="2" t="s">
        <v>45</v>
      </c>
      <c r="L522" s="2" t="s">
        <v>35</v>
      </c>
      <c r="M522" s="11" t="s">
        <v>697</v>
      </c>
    </row>
    <row r="523" spans="1:13" x14ac:dyDescent="0.25">
      <c r="A523" s="10">
        <v>1521</v>
      </c>
      <c r="B523" s="3">
        <v>45236</v>
      </c>
      <c r="C523" s="2" t="s">
        <v>70</v>
      </c>
      <c r="D523" s="2" t="s">
        <v>131</v>
      </c>
      <c r="E523" s="2" t="s">
        <v>92</v>
      </c>
      <c r="F523" s="2" t="s">
        <v>26</v>
      </c>
      <c r="G523" s="2">
        <v>1</v>
      </c>
      <c r="H523" s="6">
        <v>14.99</v>
      </c>
      <c r="I523" s="4">
        <f t="shared" si="8"/>
        <v>14.99</v>
      </c>
      <c r="J523" s="2" t="s">
        <v>33</v>
      </c>
      <c r="K523" s="2" t="s">
        <v>28</v>
      </c>
      <c r="L523" s="2" t="s">
        <v>29</v>
      </c>
      <c r="M523" s="11" t="s">
        <v>697</v>
      </c>
    </row>
    <row r="524" spans="1:13" x14ac:dyDescent="0.25">
      <c r="A524" s="10">
        <v>1522</v>
      </c>
      <c r="B524" s="5" t="s">
        <v>697</v>
      </c>
      <c r="C524" s="2" t="s">
        <v>23</v>
      </c>
      <c r="D524" s="2" t="s">
        <v>124</v>
      </c>
      <c r="E524" s="2" t="s">
        <v>127</v>
      </c>
      <c r="F524" s="2" t="s">
        <v>73</v>
      </c>
      <c r="G524" s="2">
        <v>4</v>
      </c>
      <c r="H524" s="6">
        <v>29.99</v>
      </c>
      <c r="I524" s="4">
        <f t="shared" si="8"/>
        <v>119.96</v>
      </c>
      <c r="J524" s="2" t="s">
        <v>19</v>
      </c>
      <c r="K524" s="2" t="s">
        <v>28</v>
      </c>
      <c r="L524" s="2" t="s">
        <v>29</v>
      </c>
      <c r="M524" s="11" t="s">
        <v>697</v>
      </c>
    </row>
    <row r="525" spans="1:13" x14ac:dyDescent="0.25">
      <c r="A525" s="10">
        <v>1523</v>
      </c>
      <c r="B525" s="5" t="s">
        <v>697</v>
      </c>
      <c r="C525" s="2" t="s">
        <v>42</v>
      </c>
      <c r="D525" s="2" t="s">
        <v>43</v>
      </c>
      <c r="E525" s="2" t="s">
        <v>92</v>
      </c>
      <c r="F525" s="2" t="s">
        <v>26</v>
      </c>
      <c r="G525" s="2">
        <v>5</v>
      </c>
      <c r="H525" s="6">
        <v>14.99</v>
      </c>
      <c r="I525" s="4">
        <f t="shared" si="8"/>
        <v>74.95</v>
      </c>
      <c r="J525" s="2" t="s">
        <v>19</v>
      </c>
      <c r="K525" s="2" t="s">
        <v>34</v>
      </c>
      <c r="L525" s="2" t="s">
        <v>35</v>
      </c>
      <c r="M525" s="11" t="s">
        <v>697</v>
      </c>
    </row>
    <row r="526" spans="1:13" x14ac:dyDescent="0.25">
      <c r="A526" s="10">
        <v>1524</v>
      </c>
      <c r="B526" s="3">
        <v>45168</v>
      </c>
      <c r="C526" s="2" t="s">
        <v>23</v>
      </c>
      <c r="D526" s="2" t="s">
        <v>24</v>
      </c>
      <c r="E526" s="2" t="s">
        <v>52</v>
      </c>
      <c r="F526" s="2" t="s">
        <v>53</v>
      </c>
      <c r="G526" s="4" t="s">
        <v>697</v>
      </c>
      <c r="H526" s="6">
        <v>59.99</v>
      </c>
      <c r="I526" s="4" t="str">
        <f t="shared" si="8"/>
        <v>N/A</v>
      </c>
      <c r="J526" s="2" t="s">
        <v>27</v>
      </c>
      <c r="K526" s="2" t="s">
        <v>129</v>
      </c>
      <c r="L526" s="2" t="s">
        <v>35</v>
      </c>
      <c r="M526" s="11" t="s">
        <v>697</v>
      </c>
    </row>
    <row r="527" spans="1:13" x14ac:dyDescent="0.25">
      <c r="A527" s="10">
        <v>1525</v>
      </c>
      <c r="B527" s="5" t="s">
        <v>697</v>
      </c>
      <c r="C527" s="2" t="s">
        <v>37</v>
      </c>
      <c r="D527" s="2" t="s">
        <v>169</v>
      </c>
      <c r="E527" s="2" t="s">
        <v>92</v>
      </c>
      <c r="F527" s="2" t="s">
        <v>26</v>
      </c>
      <c r="G527" s="2">
        <v>1</v>
      </c>
      <c r="H527" s="6">
        <v>14.99</v>
      </c>
      <c r="I527" s="4">
        <f t="shared" si="8"/>
        <v>14.99</v>
      </c>
      <c r="J527" s="2" t="s">
        <v>19</v>
      </c>
      <c r="K527" s="2" t="s">
        <v>55</v>
      </c>
      <c r="L527" s="2" t="s">
        <v>35</v>
      </c>
      <c r="M527" s="11" t="s">
        <v>697</v>
      </c>
    </row>
    <row r="528" spans="1:13" x14ac:dyDescent="0.25">
      <c r="A528" s="10">
        <v>1526</v>
      </c>
      <c r="B528" s="5" t="s">
        <v>697</v>
      </c>
      <c r="C528" s="2" t="s">
        <v>77</v>
      </c>
      <c r="D528" s="2" t="s">
        <v>91</v>
      </c>
      <c r="E528" s="2" t="s">
        <v>85</v>
      </c>
      <c r="F528" s="2" t="s">
        <v>26</v>
      </c>
      <c r="G528" s="2">
        <v>1</v>
      </c>
      <c r="H528" s="6">
        <v>99.99</v>
      </c>
      <c r="I528" s="4">
        <f t="shared" si="8"/>
        <v>99.99</v>
      </c>
      <c r="J528" s="2" t="s">
        <v>27</v>
      </c>
      <c r="K528" s="2" t="s">
        <v>28</v>
      </c>
      <c r="L528" s="2" t="s">
        <v>40</v>
      </c>
      <c r="M528" s="11" t="s">
        <v>697</v>
      </c>
    </row>
    <row r="529" spans="1:13" x14ac:dyDescent="0.25">
      <c r="A529" s="10">
        <v>1527</v>
      </c>
      <c r="B529" s="3">
        <v>45231</v>
      </c>
      <c r="C529" s="2" t="s">
        <v>23</v>
      </c>
      <c r="D529" s="2" t="s">
        <v>81</v>
      </c>
      <c r="E529" s="2" t="s">
        <v>82</v>
      </c>
      <c r="F529" s="2" t="s">
        <v>60</v>
      </c>
      <c r="G529" s="2">
        <v>1</v>
      </c>
      <c r="H529" s="6">
        <v>4.99</v>
      </c>
      <c r="I529" s="4">
        <f t="shared" si="8"/>
        <v>4.99</v>
      </c>
      <c r="J529" s="2" t="s">
        <v>27</v>
      </c>
      <c r="K529" s="2" t="s">
        <v>28</v>
      </c>
      <c r="L529" s="2" t="s">
        <v>35</v>
      </c>
      <c r="M529" s="11" t="s">
        <v>697</v>
      </c>
    </row>
    <row r="530" spans="1:13" x14ac:dyDescent="0.25">
      <c r="A530" s="10">
        <v>1528</v>
      </c>
      <c r="B530" s="3">
        <v>44998</v>
      </c>
      <c r="C530" s="2" t="s">
        <v>70</v>
      </c>
      <c r="D530" s="2" t="s">
        <v>88</v>
      </c>
      <c r="E530" s="2" t="s">
        <v>127</v>
      </c>
      <c r="F530" s="2" t="s">
        <v>73</v>
      </c>
      <c r="G530" s="2">
        <v>3</v>
      </c>
      <c r="H530" s="6">
        <v>29.99</v>
      </c>
      <c r="I530" s="4">
        <f t="shared" si="8"/>
        <v>89.97</v>
      </c>
      <c r="J530" s="2" t="s">
        <v>33</v>
      </c>
      <c r="K530" s="2" t="s">
        <v>28</v>
      </c>
      <c r="L530" s="2" t="s">
        <v>29</v>
      </c>
      <c r="M530" s="11" t="s">
        <v>697</v>
      </c>
    </row>
    <row r="531" spans="1:13" x14ac:dyDescent="0.25">
      <c r="A531" s="10">
        <v>1529</v>
      </c>
      <c r="B531" s="3">
        <v>45291</v>
      </c>
      <c r="C531" s="2" t="s">
        <v>65</v>
      </c>
      <c r="D531" s="2" t="s">
        <v>126</v>
      </c>
      <c r="E531" s="2" t="s">
        <v>82</v>
      </c>
      <c r="F531" s="2" t="s">
        <v>60</v>
      </c>
      <c r="G531" s="2">
        <v>3</v>
      </c>
      <c r="H531" s="6">
        <v>4.99</v>
      </c>
      <c r="I531" s="4">
        <f t="shared" si="8"/>
        <v>14.97</v>
      </c>
      <c r="J531" s="2" t="s">
        <v>33</v>
      </c>
      <c r="K531" s="2" t="s">
        <v>45</v>
      </c>
      <c r="L531" s="2" t="s">
        <v>29</v>
      </c>
      <c r="M531" s="11" t="s">
        <v>697</v>
      </c>
    </row>
    <row r="532" spans="1:13" x14ac:dyDescent="0.25">
      <c r="A532" s="10">
        <v>1530</v>
      </c>
      <c r="B532" s="5" t="s">
        <v>697</v>
      </c>
      <c r="C532" s="2" t="s">
        <v>37</v>
      </c>
      <c r="D532" s="2" t="s">
        <v>169</v>
      </c>
      <c r="E532" s="2" t="s">
        <v>82</v>
      </c>
      <c r="F532" s="2" t="s">
        <v>60</v>
      </c>
      <c r="G532" s="4" t="s">
        <v>697</v>
      </c>
      <c r="H532" s="6">
        <v>4.99</v>
      </c>
      <c r="I532" s="4" t="str">
        <f t="shared" si="8"/>
        <v>N/A</v>
      </c>
      <c r="J532" s="2" t="s">
        <v>33</v>
      </c>
      <c r="K532" s="2" t="s">
        <v>28</v>
      </c>
      <c r="L532" s="2" t="s">
        <v>35</v>
      </c>
      <c r="M532" s="11" t="s">
        <v>697</v>
      </c>
    </row>
    <row r="533" spans="1:13" x14ac:dyDescent="0.25">
      <c r="A533" s="10">
        <v>1531</v>
      </c>
      <c r="B533" s="5" t="s">
        <v>697</v>
      </c>
      <c r="C533" s="2" t="s">
        <v>23</v>
      </c>
      <c r="D533" s="2" t="s">
        <v>81</v>
      </c>
      <c r="E533" s="2" t="s">
        <v>127</v>
      </c>
      <c r="F533" s="2" t="s">
        <v>73</v>
      </c>
      <c r="G533" s="4" t="s">
        <v>697</v>
      </c>
      <c r="H533" s="6">
        <v>29.99</v>
      </c>
      <c r="I533" s="4" t="str">
        <f t="shared" si="8"/>
        <v>N/A</v>
      </c>
      <c r="J533" s="2" t="s">
        <v>54</v>
      </c>
      <c r="K533" s="2" t="s">
        <v>28</v>
      </c>
      <c r="L533" s="2" t="s">
        <v>35</v>
      </c>
      <c r="M533" s="11" t="s">
        <v>697</v>
      </c>
    </row>
    <row r="534" spans="1:13" x14ac:dyDescent="0.25">
      <c r="A534" s="10">
        <v>1532</v>
      </c>
      <c r="B534" s="3">
        <v>45226</v>
      </c>
      <c r="C534" s="2" t="s">
        <v>70</v>
      </c>
      <c r="D534" s="2" t="s">
        <v>71</v>
      </c>
      <c r="E534" s="2" t="s">
        <v>72</v>
      </c>
      <c r="F534" s="2" t="s">
        <v>73</v>
      </c>
      <c r="G534" s="2">
        <v>3</v>
      </c>
      <c r="H534" s="6">
        <v>49.99</v>
      </c>
      <c r="I534" s="4">
        <f t="shared" si="8"/>
        <v>149.97</v>
      </c>
      <c r="J534" s="2" t="s">
        <v>33</v>
      </c>
      <c r="K534" s="2" t="s">
        <v>28</v>
      </c>
      <c r="L534" s="2" t="s">
        <v>29</v>
      </c>
      <c r="M534" s="11" t="s">
        <v>697</v>
      </c>
    </row>
    <row r="535" spans="1:13" x14ac:dyDescent="0.25">
      <c r="A535" s="10">
        <v>1533</v>
      </c>
      <c r="B535" s="3">
        <v>45206</v>
      </c>
      <c r="C535" s="2" t="s">
        <v>70</v>
      </c>
      <c r="D535" s="2" t="s">
        <v>131</v>
      </c>
      <c r="E535" s="2" t="s">
        <v>85</v>
      </c>
      <c r="F535" s="2" t="s">
        <v>26</v>
      </c>
      <c r="G535" s="2">
        <v>1</v>
      </c>
      <c r="H535" s="6">
        <v>99.99</v>
      </c>
      <c r="I535" s="4">
        <f t="shared" si="8"/>
        <v>99.99</v>
      </c>
      <c r="J535" s="2" t="s">
        <v>33</v>
      </c>
      <c r="K535" s="2" t="s">
        <v>34</v>
      </c>
      <c r="L535" s="2" t="s">
        <v>35</v>
      </c>
      <c r="M535" s="12" t="s">
        <v>63</v>
      </c>
    </row>
    <row r="536" spans="1:13" x14ac:dyDescent="0.25">
      <c r="A536" s="10">
        <v>1534</v>
      </c>
      <c r="B536" s="3">
        <v>45120</v>
      </c>
      <c r="C536" s="2" t="s">
        <v>42</v>
      </c>
      <c r="D536" s="2" t="s">
        <v>43</v>
      </c>
      <c r="E536" s="2" t="s">
        <v>39</v>
      </c>
      <c r="F536" s="2" t="s">
        <v>17</v>
      </c>
      <c r="G536" s="4" t="s">
        <v>697</v>
      </c>
      <c r="H536" s="6">
        <v>39.99</v>
      </c>
      <c r="I536" s="4" t="str">
        <f t="shared" si="8"/>
        <v>N/A</v>
      </c>
      <c r="J536" s="2" t="s">
        <v>27</v>
      </c>
      <c r="K536" s="2" t="s">
        <v>28</v>
      </c>
      <c r="L536" s="2" t="s">
        <v>35</v>
      </c>
      <c r="M536" s="11" t="s">
        <v>697</v>
      </c>
    </row>
    <row r="537" spans="1:13" x14ac:dyDescent="0.25">
      <c r="A537" s="10">
        <v>1535</v>
      </c>
      <c r="B537" s="3">
        <v>45193</v>
      </c>
      <c r="C537" s="2" t="s">
        <v>697</v>
      </c>
      <c r="D537" s="2" t="s">
        <v>78</v>
      </c>
      <c r="E537" s="2" t="s">
        <v>127</v>
      </c>
      <c r="F537" s="2" t="s">
        <v>73</v>
      </c>
      <c r="G537" s="2">
        <v>5</v>
      </c>
      <c r="H537" s="6">
        <v>29.99</v>
      </c>
      <c r="I537" s="4">
        <f t="shared" si="8"/>
        <v>149.94999999999999</v>
      </c>
      <c r="J537" s="2" t="s">
        <v>33</v>
      </c>
      <c r="K537" s="2" t="s">
        <v>129</v>
      </c>
      <c r="L537" s="2" t="s">
        <v>35</v>
      </c>
      <c r="M537" s="11" t="s">
        <v>697</v>
      </c>
    </row>
    <row r="538" spans="1:13" x14ac:dyDescent="0.25">
      <c r="A538" s="10">
        <v>1536</v>
      </c>
      <c r="B538" s="5" t="s">
        <v>697</v>
      </c>
      <c r="C538" s="2" t="s">
        <v>697</v>
      </c>
      <c r="D538" s="2" t="s">
        <v>75</v>
      </c>
      <c r="E538" s="2" t="s">
        <v>44</v>
      </c>
      <c r="F538" s="2" t="s">
        <v>17</v>
      </c>
      <c r="G538" s="4" t="s">
        <v>697</v>
      </c>
      <c r="H538" s="6">
        <v>15.99</v>
      </c>
      <c r="I538" s="4" t="str">
        <f t="shared" si="8"/>
        <v>N/A</v>
      </c>
      <c r="J538" s="2" t="s">
        <v>19</v>
      </c>
      <c r="K538" s="2" t="s">
        <v>45</v>
      </c>
      <c r="L538" s="2" t="s">
        <v>40</v>
      </c>
      <c r="M538" s="11" t="s">
        <v>697</v>
      </c>
    </row>
    <row r="539" spans="1:13" x14ac:dyDescent="0.25">
      <c r="A539" s="10">
        <v>1537</v>
      </c>
      <c r="B539" s="3">
        <v>45243</v>
      </c>
      <c r="C539" s="2" t="s">
        <v>77</v>
      </c>
      <c r="D539" s="2" t="s">
        <v>91</v>
      </c>
      <c r="E539" s="2" t="s">
        <v>82</v>
      </c>
      <c r="F539" s="2" t="s">
        <v>60</v>
      </c>
      <c r="G539" s="2">
        <v>3</v>
      </c>
      <c r="H539" s="6">
        <v>4.99</v>
      </c>
      <c r="I539" s="4">
        <f t="shared" si="8"/>
        <v>14.97</v>
      </c>
      <c r="J539" s="2" t="s">
        <v>33</v>
      </c>
      <c r="K539" s="2" t="s">
        <v>34</v>
      </c>
      <c r="L539" s="2" t="s">
        <v>35</v>
      </c>
      <c r="M539" s="11" t="s">
        <v>697</v>
      </c>
    </row>
    <row r="540" spans="1:13" x14ac:dyDescent="0.25">
      <c r="A540" s="10">
        <v>1538</v>
      </c>
      <c r="B540" s="3">
        <v>44927</v>
      </c>
      <c r="C540" s="2" t="s">
        <v>65</v>
      </c>
      <c r="D540" s="2" t="s">
        <v>126</v>
      </c>
      <c r="E540" s="2" t="s">
        <v>72</v>
      </c>
      <c r="F540" s="2" t="s">
        <v>73</v>
      </c>
      <c r="G540" s="2">
        <v>5</v>
      </c>
      <c r="H540" s="6">
        <v>49.99</v>
      </c>
      <c r="I540" s="4">
        <f t="shared" si="8"/>
        <v>249.95000000000002</v>
      </c>
      <c r="J540" s="2" t="s">
        <v>33</v>
      </c>
      <c r="K540" s="2" t="s">
        <v>45</v>
      </c>
      <c r="L540" s="2" t="s">
        <v>35</v>
      </c>
      <c r="M540" s="11" t="s">
        <v>697</v>
      </c>
    </row>
    <row r="541" spans="1:13" x14ac:dyDescent="0.25">
      <c r="A541" s="10">
        <v>1539</v>
      </c>
      <c r="B541" s="3">
        <v>45332</v>
      </c>
      <c r="C541" s="2" t="s">
        <v>42</v>
      </c>
      <c r="D541" s="2" t="s">
        <v>116</v>
      </c>
      <c r="E541" s="2" t="s">
        <v>82</v>
      </c>
      <c r="F541" s="2" t="s">
        <v>60</v>
      </c>
      <c r="G541" s="4" t="s">
        <v>697</v>
      </c>
      <c r="H541" s="6">
        <v>4.99</v>
      </c>
      <c r="I541" s="4" t="str">
        <f t="shared" si="8"/>
        <v>N/A</v>
      </c>
      <c r="J541" s="2" t="s">
        <v>27</v>
      </c>
      <c r="K541" s="2" t="s">
        <v>55</v>
      </c>
      <c r="L541" s="2" t="s">
        <v>29</v>
      </c>
      <c r="M541" s="11" t="s">
        <v>697</v>
      </c>
    </row>
    <row r="542" spans="1:13" x14ac:dyDescent="0.25">
      <c r="A542" s="10">
        <v>1540</v>
      </c>
      <c r="B542" s="3">
        <v>45103</v>
      </c>
      <c r="C542" s="2" t="s">
        <v>77</v>
      </c>
      <c r="D542" s="2" t="s">
        <v>78</v>
      </c>
      <c r="E542" s="2" t="s">
        <v>31</v>
      </c>
      <c r="F542" s="2" t="s">
        <v>32</v>
      </c>
      <c r="G542" s="2">
        <v>1</v>
      </c>
      <c r="H542" s="6">
        <v>79.989999999999995</v>
      </c>
      <c r="I542" s="4">
        <f t="shared" si="8"/>
        <v>79.989999999999995</v>
      </c>
      <c r="J542" s="2" t="s">
        <v>19</v>
      </c>
      <c r="K542" s="2" t="s">
        <v>28</v>
      </c>
      <c r="L542" s="2" t="s">
        <v>35</v>
      </c>
      <c r="M542" s="11" t="s">
        <v>697</v>
      </c>
    </row>
    <row r="543" spans="1:13" x14ac:dyDescent="0.25">
      <c r="A543" s="10">
        <v>1541</v>
      </c>
      <c r="B543" s="3">
        <v>45398</v>
      </c>
      <c r="C543" s="2" t="s">
        <v>14</v>
      </c>
      <c r="D543" s="2" t="s">
        <v>84</v>
      </c>
      <c r="E543" s="2" t="s">
        <v>82</v>
      </c>
      <c r="F543" s="2" t="s">
        <v>60</v>
      </c>
      <c r="G543" s="2">
        <v>5</v>
      </c>
      <c r="H543" s="6">
        <v>4.99</v>
      </c>
      <c r="I543" s="4">
        <f t="shared" si="8"/>
        <v>24.950000000000003</v>
      </c>
      <c r="J543" s="2" t="s">
        <v>54</v>
      </c>
      <c r="K543" s="2" t="s">
        <v>45</v>
      </c>
      <c r="L543" s="2" t="s">
        <v>35</v>
      </c>
      <c r="M543" s="11" t="s">
        <v>697</v>
      </c>
    </row>
    <row r="544" spans="1:13" x14ac:dyDescent="0.25">
      <c r="A544" s="10">
        <v>1542</v>
      </c>
      <c r="B544" s="3">
        <v>45107</v>
      </c>
      <c r="C544" s="2" t="s">
        <v>697</v>
      </c>
      <c r="D544" s="2" t="s">
        <v>126</v>
      </c>
      <c r="E544" s="2" t="s">
        <v>92</v>
      </c>
      <c r="F544" s="2" t="s">
        <v>26</v>
      </c>
      <c r="G544" s="4" t="s">
        <v>697</v>
      </c>
      <c r="H544" s="6">
        <v>14.99</v>
      </c>
      <c r="I544" s="4" t="str">
        <f t="shared" si="8"/>
        <v>N/A</v>
      </c>
      <c r="J544" s="2" t="s">
        <v>19</v>
      </c>
      <c r="K544" s="2" t="s">
        <v>45</v>
      </c>
      <c r="L544" s="2" t="s">
        <v>35</v>
      </c>
      <c r="M544" s="11" t="s">
        <v>697</v>
      </c>
    </row>
    <row r="545" spans="1:13" x14ac:dyDescent="0.25">
      <c r="A545" s="10">
        <v>1543</v>
      </c>
      <c r="B545" s="5" t="s">
        <v>697</v>
      </c>
      <c r="C545" s="2" t="s">
        <v>14</v>
      </c>
      <c r="D545" s="2" t="s">
        <v>15</v>
      </c>
      <c r="E545" s="2" t="s">
        <v>85</v>
      </c>
      <c r="F545" s="2" t="s">
        <v>26</v>
      </c>
      <c r="G545" s="2">
        <v>1</v>
      </c>
      <c r="H545" s="6">
        <v>99.99</v>
      </c>
      <c r="I545" s="4">
        <f t="shared" si="8"/>
        <v>99.99</v>
      </c>
      <c r="J545" s="2" t="s">
        <v>33</v>
      </c>
      <c r="K545" s="2" t="s">
        <v>55</v>
      </c>
      <c r="L545" s="2" t="s">
        <v>35</v>
      </c>
      <c r="M545" s="11" t="s">
        <v>697</v>
      </c>
    </row>
    <row r="546" spans="1:13" x14ac:dyDescent="0.25">
      <c r="A546" s="10">
        <v>1544</v>
      </c>
      <c r="B546" s="3">
        <v>45148</v>
      </c>
      <c r="C546" s="2" t="s">
        <v>42</v>
      </c>
      <c r="D546" s="2" t="s">
        <v>43</v>
      </c>
      <c r="E546" s="2" t="s">
        <v>92</v>
      </c>
      <c r="F546" s="2" t="s">
        <v>26</v>
      </c>
      <c r="G546" s="2">
        <v>1</v>
      </c>
      <c r="H546" s="6">
        <v>14.99</v>
      </c>
      <c r="I546" s="4">
        <f t="shared" si="8"/>
        <v>14.99</v>
      </c>
      <c r="J546" s="2" t="s">
        <v>33</v>
      </c>
      <c r="K546" s="2" t="s">
        <v>45</v>
      </c>
      <c r="L546" s="2" t="s">
        <v>35</v>
      </c>
      <c r="M546" s="11" t="s">
        <v>697</v>
      </c>
    </row>
    <row r="547" spans="1:13" x14ac:dyDescent="0.25">
      <c r="A547" s="10">
        <v>1545</v>
      </c>
      <c r="B547" s="5" t="s">
        <v>697</v>
      </c>
      <c r="C547" s="2" t="s">
        <v>65</v>
      </c>
      <c r="D547" s="2" t="s">
        <v>66</v>
      </c>
      <c r="E547" s="2" t="s">
        <v>85</v>
      </c>
      <c r="F547" s="2" t="s">
        <v>26</v>
      </c>
      <c r="G547" s="2">
        <v>5</v>
      </c>
      <c r="H547" s="6">
        <v>99.99</v>
      </c>
      <c r="I547" s="4">
        <f t="shared" si="8"/>
        <v>499.95</v>
      </c>
      <c r="J547" s="2" t="s">
        <v>54</v>
      </c>
      <c r="K547" s="2" t="s">
        <v>129</v>
      </c>
      <c r="L547" s="2" t="s">
        <v>29</v>
      </c>
      <c r="M547" s="11" t="s">
        <v>697</v>
      </c>
    </row>
    <row r="548" spans="1:13" x14ac:dyDescent="0.25">
      <c r="A548" s="10">
        <v>1546</v>
      </c>
      <c r="B548" s="3">
        <v>45241</v>
      </c>
      <c r="C548" s="2" t="s">
        <v>37</v>
      </c>
      <c r="D548" s="2" t="s">
        <v>162</v>
      </c>
      <c r="E548" s="2" t="s">
        <v>39</v>
      </c>
      <c r="F548" s="2" t="s">
        <v>17</v>
      </c>
      <c r="G548" s="4" t="s">
        <v>697</v>
      </c>
      <c r="H548" s="6">
        <v>39.99</v>
      </c>
      <c r="I548" s="4" t="str">
        <f t="shared" si="8"/>
        <v>N/A</v>
      </c>
      <c r="J548" s="2" t="s">
        <v>27</v>
      </c>
      <c r="K548" s="2" t="s">
        <v>34</v>
      </c>
      <c r="L548" s="2" t="s">
        <v>29</v>
      </c>
      <c r="M548" s="12" t="s">
        <v>63</v>
      </c>
    </row>
    <row r="549" spans="1:13" x14ac:dyDescent="0.25">
      <c r="A549" s="10">
        <v>1547</v>
      </c>
      <c r="B549" s="5" t="s">
        <v>697</v>
      </c>
      <c r="C549" s="2" t="s">
        <v>37</v>
      </c>
      <c r="D549" s="2" t="s">
        <v>162</v>
      </c>
      <c r="E549" s="2" t="s">
        <v>72</v>
      </c>
      <c r="F549" s="2" t="s">
        <v>73</v>
      </c>
      <c r="G549" s="2">
        <v>2</v>
      </c>
      <c r="H549" s="6">
        <v>49.99</v>
      </c>
      <c r="I549" s="4">
        <f t="shared" si="8"/>
        <v>99.98</v>
      </c>
      <c r="J549" s="2" t="s">
        <v>33</v>
      </c>
      <c r="K549" s="2" t="s">
        <v>34</v>
      </c>
      <c r="L549" s="2" t="s">
        <v>35</v>
      </c>
      <c r="M549" s="11" t="s">
        <v>697</v>
      </c>
    </row>
    <row r="550" spans="1:13" x14ac:dyDescent="0.25">
      <c r="A550" s="10">
        <v>1548</v>
      </c>
      <c r="B550" s="5" t="s">
        <v>697</v>
      </c>
      <c r="C550" s="2" t="s">
        <v>37</v>
      </c>
      <c r="D550" s="2" t="s">
        <v>169</v>
      </c>
      <c r="E550" s="2" t="s">
        <v>92</v>
      </c>
      <c r="F550" s="2" t="s">
        <v>26</v>
      </c>
      <c r="G550" s="2">
        <v>4</v>
      </c>
      <c r="H550" s="6">
        <v>14.99</v>
      </c>
      <c r="I550" s="4">
        <f t="shared" si="8"/>
        <v>59.96</v>
      </c>
      <c r="J550" s="2" t="s">
        <v>33</v>
      </c>
      <c r="K550" s="2" t="s">
        <v>45</v>
      </c>
      <c r="L550" s="2" t="s">
        <v>35</v>
      </c>
      <c r="M550" s="11" t="s">
        <v>697</v>
      </c>
    </row>
    <row r="551" spans="1:13" x14ac:dyDescent="0.25">
      <c r="A551" s="10">
        <v>1549</v>
      </c>
      <c r="B551" s="3">
        <v>45109</v>
      </c>
      <c r="C551" s="2" t="s">
        <v>23</v>
      </c>
      <c r="D551" s="2" t="s">
        <v>24</v>
      </c>
      <c r="E551" s="2" t="s">
        <v>92</v>
      </c>
      <c r="F551" s="2" t="s">
        <v>26</v>
      </c>
      <c r="G551" s="4" t="s">
        <v>697</v>
      </c>
      <c r="H551" s="6">
        <v>14.99</v>
      </c>
      <c r="I551" s="4" t="str">
        <f t="shared" si="8"/>
        <v>N/A</v>
      </c>
      <c r="J551" s="2" t="s">
        <v>33</v>
      </c>
      <c r="K551" s="2" t="s">
        <v>55</v>
      </c>
      <c r="L551" s="2" t="s">
        <v>35</v>
      </c>
      <c r="M551" s="11" t="s">
        <v>697</v>
      </c>
    </row>
    <row r="552" spans="1:13" x14ac:dyDescent="0.25">
      <c r="A552" s="10">
        <v>1550</v>
      </c>
      <c r="B552" s="3">
        <v>45240</v>
      </c>
      <c r="C552" s="2" t="s">
        <v>77</v>
      </c>
      <c r="D552" s="2" t="s">
        <v>91</v>
      </c>
      <c r="E552" s="2" t="s">
        <v>31</v>
      </c>
      <c r="F552" s="2" t="s">
        <v>32</v>
      </c>
      <c r="G552" s="2">
        <v>2</v>
      </c>
      <c r="H552" s="6">
        <v>79.989999999999995</v>
      </c>
      <c r="I552" s="4">
        <f t="shared" si="8"/>
        <v>159.97999999999999</v>
      </c>
      <c r="J552" s="2" t="s">
        <v>33</v>
      </c>
      <c r="K552" s="2" t="s">
        <v>45</v>
      </c>
      <c r="L552" s="2" t="s">
        <v>35</v>
      </c>
      <c r="M552" s="11" t="s">
        <v>697</v>
      </c>
    </row>
    <row r="553" spans="1:13" x14ac:dyDescent="0.25">
      <c r="A553" s="10">
        <v>1551</v>
      </c>
      <c r="B553" s="3">
        <v>45265</v>
      </c>
      <c r="C553" s="2" t="s">
        <v>14</v>
      </c>
      <c r="D553" s="4" t="s">
        <v>697</v>
      </c>
      <c r="E553" s="2" t="s">
        <v>92</v>
      </c>
      <c r="F553" s="2" t="s">
        <v>26</v>
      </c>
      <c r="G553" s="2">
        <v>1</v>
      </c>
      <c r="H553" s="6">
        <v>14.99</v>
      </c>
      <c r="I553" s="4">
        <f t="shared" si="8"/>
        <v>14.99</v>
      </c>
      <c r="J553" s="2" t="s">
        <v>33</v>
      </c>
      <c r="K553" s="2" t="s">
        <v>45</v>
      </c>
      <c r="L553" s="2" t="s">
        <v>35</v>
      </c>
      <c r="M553" s="11" t="s">
        <v>697</v>
      </c>
    </row>
    <row r="554" spans="1:13" x14ac:dyDescent="0.25">
      <c r="A554" s="10">
        <v>1552</v>
      </c>
      <c r="B554" s="3">
        <v>45304</v>
      </c>
      <c r="C554" s="2" t="s">
        <v>42</v>
      </c>
      <c r="D554" s="2" t="s">
        <v>43</v>
      </c>
      <c r="E554" s="2" t="s">
        <v>82</v>
      </c>
      <c r="F554" s="2" t="s">
        <v>60</v>
      </c>
      <c r="G554" s="2">
        <v>4</v>
      </c>
      <c r="H554" s="6">
        <v>4.99</v>
      </c>
      <c r="I554" s="4">
        <f t="shared" si="8"/>
        <v>19.96</v>
      </c>
      <c r="J554" s="2" t="s">
        <v>33</v>
      </c>
      <c r="K554" s="2" t="s">
        <v>55</v>
      </c>
      <c r="L554" s="2" t="s">
        <v>29</v>
      </c>
      <c r="M554" s="11" t="s">
        <v>697</v>
      </c>
    </row>
    <row r="555" spans="1:13" x14ac:dyDescent="0.25">
      <c r="A555" s="10">
        <v>1553</v>
      </c>
      <c r="B555" s="3">
        <v>45238</v>
      </c>
      <c r="C555" s="2" t="s">
        <v>37</v>
      </c>
      <c r="D555" s="2" t="s">
        <v>169</v>
      </c>
      <c r="E555" s="2" t="s">
        <v>52</v>
      </c>
      <c r="F555" s="2" t="s">
        <v>53</v>
      </c>
      <c r="G555" s="2">
        <v>1</v>
      </c>
      <c r="H555" s="6">
        <v>59.99</v>
      </c>
      <c r="I555" s="4">
        <f t="shared" si="8"/>
        <v>59.99</v>
      </c>
      <c r="J555" s="2" t="s">
        <v>54</v>
      </c>
      <c r="K555" s="2" t="s">
        <v>55</v>
      </c>
      <c r="L555" s="2" t="s">
        <v>35</v>
      </c>
      <c r="M555" s="11" t="s">
        <v>697</v>
      </c>
    </row>
    <row r="556" spans="1:13" x14ac:dyDescent="0.25">
      <c r="A556" s="10">
        <v>1554</v>
      </c>
      <c r="B556" s="5" t="s">
        <v>697</v>
      </c>
      <c r="C556" s="2" t="s">
        <v>42</v>
      </c>
      <c r="D556" s="2" t="s">
        <v>43</v>
      </c>
      <c r="E556" s="2" t="s">
        <v>31</v>
      </c>
      <c r="F556" s="2" t="s">
        <v>32</v>
      </c>
      <c r="G556" s="4" t="s">
        <v>697</v>
      </c>
      <c r="H556" s="6">
        <v>79.989999999999995</v>
      </c>
      <c r="I556" s="4" t="str">
        <f t="shared" si="8"/>
        <v>N/A</v>
      </c>
      <c r="J556" s="2" t="s">
        <v>33</v>
      </c>
      <c r="K556" s="2" t="s">
        <v>28</v>
      </c>
      <c r="L556" s="2" t="s">
        <v>35</v>
      </c>
      <c r="M556" s="11" t="s">
        <v>697</v>
      </c>
    </row>
    <row r="557" spans="1:13" x14ac:dyDescent="0.25">
      <c r="A557" s="10">
        <v>1555</v>
      </c>
      <c r="B557" s="3">
        <v>45066</v>
      </c>
      <c r="C557" s="2" t="s">
        <v>697</v>
      </c>
      <c r="D557" s="2" t="s">
        <v>114</v>
      </c>
      <c r="E557" s="2" t="s">
        <v>82</v>
      </c>
      <c r="F557" s="2" t="s">
        <v>60</v>
      </c>
      <c r="G557" s="2">
        <v>2</v>
      </c>
      <c r="H557" s="6">
        <v>4.99</v>
      </c>
      <c r="I557" s="4">
        <f t="shared" si="8"/>
        <v>9.98</v>
      </c>
      <c r="J557" s="2" t="s">
        <v>33</v>
      </c>
      <c r="K557" s="2" t="s">
        <v>45</v>
      </c>
      <c r="L557" s="2" t="s">
        <v>29</v>
      </c>
      <c r="M557" s="11" t="s">
        <v>697</v>
      </c>
    </row>
    <row r="558" spans="1:13" x14ac:dyDescent="0.25">
      <c r="A558" s="10">
        <v>1556</v>
      </c>
      <c r="B558" s="3">
        <v>45377</v>
      </c>
      <c r="C558" s="2" t="s">
        <v>65</v>
      </c>
      <c r="D558" s="2" t="s">
        <v>123</v>
      </c>
      <c r="E558" s="2" t="s">
        <v>85</v>
      </c>
      <c r="F558" s="2" t="s">
        <v>26</v>
      </c>
      <c r="G558" s="4" t="s">
        <v>697</v>
      </c>
      <c r="H558" s="6">
        <v>99.99</v>
      </c>
      <c r="I558" s="4" t="str">
        <f t="shared" si="8"/>
        <v>N/A</v>
      </c>
      <c r="J558" s="2" t="s">
        <v>33</v>
      </c>
      <c r="K558" s="2" t="s">
        <v>34</v>
      </c>
      <c r="L558" s="2" t="s">
        <v>35</v>
      </c>
      <c r="M558" s="11" t="s">
        <v>697</v>
      </c>
    </row>
    <row r="559" spans="1:13" x14ac:dyDescent="0.25">
      <c r="A559" s="10">
        <v>1557</v>
      </c>
      <c r="B559" s="3">
        <v>45280</v>
      </c>
      <c r="C559" s="2" t="s">
        <v>77</v>
      </c>
      <c r="D559" s="2" t="s">
        <v>114</v>
      </c>
      <c r="E559" s="2" t="s">
        <v>85</v>
      </c>
      <c r="F559" s="2" t="s">
        <v>26</v>
      </c>
      <c r="G559" s="2">
        <v>3</v>
      </c>
      <c r="H559" s="6">
        <v>99.99</v>
      </c>
      <c r="I559" s="4">
        <f t="shared" si="8"/>
        <v>299.96999999999997</v>
      </c>
      <c r="J559" s="2" t="s">
        <v>54</v>
      </c>
      <c r="K559" s="2" t="s">
        <v>28</v>
      </c>
      <c r="L559" s="2" t="s">
        <v>40</v>
      </c>
      <c r="M559" s="11" t="s">
        <v>697</v>
      </c>
    </row>
    <row r="560" spans="1:13" x14ac:dyDescent="0.25">
      <c r="A560" s="10">
        <v>1558</v>
      </c>
      <c r="B560" s="3">
        <v>45192</v>
      </c>
      <c r="C560" s="2" t="s">
        <v>697</v>
      </c>
      <c r="D560" s="2" t="s">
        <v>126</v>
      </c>
      <c r="E560" s="2" t="s">
        <v>82</v>
      </c>
      <c r="F560" s="2" t="s">
        <v>60</v>
      </c>
      <c r="G560" s="4" t="s">
        <v>697</v>
      </c>
      <c r="H560" s="6">
        <v>4.99</v>
      </c>
      <c r="I560" s="4" t="str">
        <f t="shared" si="8"/>
        <v>N/A</v>
      </c>
      <c r="J560" s="2" t="s">
        <v>33</v>
      </c>
      <c r="K560" s="2" t="s">
        <v>34</v>
      </c>
      <c r="L560" s="2" t="s">
        <v>29</v>
      </c>
      <c r="M560" s="11" t="s">
        <v>697</v>
      </c>
    </row>
    <row r="561" spans="1:13" x14ac:dyDescent="0.25">
      <c r="A561" s="10">
        <v>1559</v>
      </c>
      <c r="B561" s="5" t="s">
        <v>697</v>
      </c>
      <c r="C561" s="2" t="s">
        <v>42</v>
      </c>
      <c r="D561" s="2" t="s">
        <v>48</v>
      </c>
      <c r="E561" s="2" t="s">
        <v>52</v>
      </c>
      <c r="F561" s="2" t="s">
        <v>53</v>
      </c>
      <c r="G561" s="2">
        <v>3</v>
      </c>
      <c r="H561" s="6">
        <v>59.99</v>
      </c>
      <c r="I561" s="4">
        <f t="shared" si="8"/>
        <v>179.97</v>
      </c>
      <c r="J561" s="2" t="s">
        <v>54</v>
      </c>
      <c r="K561" s="2" t="s">
        <v>28</v>
      </c>
      <c r="L561" s="2" t="s">
        <v>35</v>
      </c>
      <c r="M561" s="11" t="s">
        <v>697</v>
      </c>
    </row>
    <row r="562" spans="1:13" x14ac:dyDescent="0.25">
      <c r="A562" s="10">
        <v>1560</v>
      </c>
      <c r="B562" s="5" t="s">
        <v>697</v>
      </c>
      <c r="C562" s="2" t="s">
        <v>37</v>
      </c>
      <c r="D562" s="2" t="s">
        <v>162</v>
      </c>
      <c r="E562" s="2" t="s">
        <v>72</v>
      </c>
      <c r="F562" s="2" t="s">
        <v>73</v>
      </c>
      <c r="G562" s="2">
        <v>1</v>
      </c>
      <c r="H562" s="6">
        <v>49.99</v>
      </c>
      <c r="I562" s="4">
        <f t="shared" si="8"/>
        <v>49.99</v>
      </c>
      <c r="J562" s="2" t="s">
        <v>33</v>
      </c>
      <c r="K562" s="2" t="s">
        <v>45</v>
      </c>
      <c r="L562" s="2" t="s">
        <v>35</v>
      </c>
      <c r="M562" s="11" t="s">
        <v>697</v>
      </c>
    </row>
    <row r="563" spans="1:13" x14ac:dyDescent="0.25">
      <c r="A563" s="10">
        <v>1561</v>
      </c>
      <c r="B563" s="3">
        <v>45393</v>
      </c>
      <c r="C563" s="2" t="s">
        <v>42</v>
      </c>
      <c r="D563" s="2" t="s">
        <v>116</v>
      </c>
      <c r="E563" s="2" t="s">
        <v>52</v>
      </c>
      <c r="F563" s="2" t="s">
        <v>53</v>
      </c>
      <c r="G563" s="2">
        <v>5</v>
      </c>
      <c r="H563" s="6">
        <v>59.99</v>
      </c>
      <c r="I563" s="4">
        <f t="shared" si="8"/>
        <v>299.95</v>
      </c>
      <c r="J563" s="2" t="s">
        <v>33</v>
      </c>
      <c r="K563" s="2" t="s">
        <v>34</v>
      </c>
      <c r="L563" s="2" t="s">
        <v>29</v>
      </c>
      <c r="M563" s="11" t="s">
        <v>697</v>
      </c>
    </row>
    <row r="564" spans="1:13" x14ac:dyDescent="0.25">
      <c r="A564" s="10">
        <v>1562</v>
      </c>
      <c r="B564" s="3">
        <v>45198</v>
      </c>
      <c r="C564" s="2" t="s">
        <v>42</v>
      </c>
      <c r="D564" s="2" t="s">
        <v>43</v>
      </c>
      <c r="E564" s="2" t="s">
        <v>85</v>
      </c>
      <c r="F564" s="2" t="s">
        <v>26</v>
      </c>
      <c r="G564" s="2">
        <v>3</v>
      </c>
      <c r="H564" s="6">
        <v>99.99</v>
      </c>
      <c r="I564" s="4">
        <f t="shared" si="8"/>
        <v>299.96999999999997</v>
      </c>
      <c r="J564" s="2" t="s">
        <v>27</v>
      </c>
      <c r="K564" s="2" t="s">
        <v>55</v>
      </c>
      <c r="L564" s="2" t="s">
        <v>40</v>
      </c>
      <c r="M564" s="11" t="s">
        <v>697</v>
      </c>
    </row>
    <row r="565" spans="1:13" x14ac:dyDescent="0.25">
      <c r="A565" s="10">
        <v>1563</v>
      </c>
      <c r="B565" s="3">
        <v>45383</v>
      </c>
      <c r="C565" s="2" t="s">
        <v>77</v>
      </c>
      <c r="D565" s="2" t="s">
        <v>114</v>
      </c>
      <c r="E565" s="2" t="s">
        <v>31</v>
      </c>
      <c r="F565" s="2" t="s">
        <v>32</v>
      </c>
      <c r="G565" s="2">
        <v>1</v>
      </c>
      <c r="H565" s="6">
        <v>79.989999999999995</v>
      </c>
      <c r="I565" s="4">
        <f t="shared" si="8"/>
        <v>79.989999999999995</v>
      </c>
      <c r="J565" s="2" t="s">
        <v>33</v>
      </c>
      <c r="K565" s="2" t="s">
        <v>45</v>
      </c>
      <c r="L565" s="2" t="s">
        <v>40</v>
      </c>
      <c r="M565" s="11" t="s">
        <v>697</v>
      </c>
    </row>
    <row r="566" spans="1:13" x14ac:dyDescent="0.25">
      <c r="A566" s="10">
        <v>1564</v>
      </c>
      <c r="B566" s="5" t="s">
        <v>697</v>
      </c>
      <c r="C566" s="2" t="s">
        <v>42</v>
      </c>
      <c r="D566" s="2" t="s">
        <v>116</v>
      </c>
      <c r="E566" s="2" t="s">
        <v>39</v>
      </c>
      <c r="F566" s="2" t="s">
        <v>17</v>
      </c>
      <c r="G566" s="2">
        <v>4</v>
      </c>
      <c r="H566" s="6">
        <v>39.99</v>
      </c>
      <c r="I566" s="4">
        <f t="shared" si="8"/>
        <v>159.96</v>
      </c>
      <c r="J566" s="2" t="s">
        <v>19</v>
      </c>
      <c r="K566" s="2" t="s">
        <v>28</v>
      </c>
      <c r="L566" s="2" t="s">
        <v>40</v>
      </c>
      <c r="M566" s="11" t="s">
        <v>697</v>
      </c>
    </row>
    <row r="567" spans="1:13" x14ac:dyDescent="0.25">
      <c r="A567" s="10">
        <v>1565</v>
      </c>
      <c r="B567" s="3">
        <v>45218</v>
      </c>
      <c r="C567" s="2" t="s">
        <v>14</v>
      </c>
      <c r="D567" s="2" t="s">
        <v>84</v>
      </c>
      <c r="E567" s="2" t="s">
        <v>127</v>
      </c>
      <c r="F567" s="2" t="s">
        <v>73</v>
      </c>
      <c r="G567" s="2">
        <v>4</v>
      </c>
      <c r="H567" s="6">
        <v>29.99</v>
      </c>
      <c r="I567" s="4">
        <f t="shared" si="8"/>
        <v>119.96</v>
      </c>
      <c r="J567" s="2" t="s">
        <v>33</v>
      </c>
      <c r="K567" s="2" t="s">
        <v>34</v>
      </c>
      <c r="L567" s="2" t="s">
        <v>35</v>
      </c>
      <c r="M567" s="11" t="s">
        <v>697</v>
      </c>
    </row>
    <row r="568" spans="1:13" x14ac:dyDescent="0.25">
      <c r="A568" s="10">
        <v>1566</v>
      </c>
      <c r="B568" s="3">
        <v>45232</v>
      </c>
      <c r="C568" s="2" t="s">
        <v>65</v>
      </c>
      <c r="D568" s="2" t="s">
        <v>123</v>
      </c>
      <c r="E568" s="2" t="s">
        <v>72</v>
      </c>
      <c r="F568" s="2" t="s">
        <v>73</v>
      </c>
      <c r="G568" s="4" t="s">
        <v>697</v>
      </c>
      <c r="H568" s="6">
        <v>49.99</v>
      </c>
      <c r="I568" s="4" t="str">
        <f t="shared" si="8"/>
        <v>N/A</v>
      </c>
      <c r="J568" s="2" t="s">
        <v>33</v>
      </c>
      <c r="K568" s="2" t="s">
        <v>55</v>
      </c>
      <c r="L568" s="2" t="s">
        <v>35</v>
      </c>
      <c r="M568" s="11" t="s">
        <v>697</v>
      </c>
    </row>
    <row r="569" spans="1:13" x14ac:dyDescent="0.25">
      <c r="A569" s="10">
        <v>1567</v>
      </c>
      <c r="B569" s="3">
        <v>45009</v>
      </c>
      <c r="C569" s="2" t="s">
        <v>65</v>
      </c>
      <c r="D569" s="2" t="s">
        <v>123</v>
      </c>
      <c r="E569" s="2" t="s">
        <v>127</v>
      </c>
      <c r="F569" s="2" t="s">
        <v>73</v>
      </c>
      <c r="G569" s="2">
        <v>1</v>
      </c>
      <c r="H569" s="6">
        <v>29.99</v>
      </c>
      <c r="I569" s="4">
        <f t="shared" si="8"/>
        <v>29.99</v>
      </c>
      <c r="J569" s="2" t="s">
        <v>54</v>
      </c>
      <c r="K569" s="2" t="s">
        <v>45</v>
      </c>
      <c r="L569" s="2" t="s">
        <v>35</v>
      </c>
      <c r="M569" s="11" t="s">
        <v>697</v>
      </c>
    </row>
    <row r="570" spans="1:13" x14ac:dyDescent="0.25">
      <c r="A570" s="10">
        <v>1568</v>
      </c>
      <c r="B570" s="3">
        <v>45006</v>
      </c>
      <c r="C570" s="2" t="s">
        <v>23</v>
      </c>
      <c r="D570" s="2" t="s">
        <v>124</v>
      </c>
      <c r="E570" s="2" t="s">
        <v>31</v>
      </c>
      <c r="F570" s="2" t="s">
        <v>32</v>
      </c>
      <c r="G570" s="2">
        <v>1</v>
      </c>
      <c r="H570" s="6">
        <v>79.989999999999995</v>
      </c>
      <c r="I570" s="4">
        <f t="shared" si="8"/>
        <v>79.989999999999995</v>
      </c>
      <c r="J570" s="2" t="s">
        <v>33</v>
      </c>
      <c r="K570" s="2" t="s">
        <v>129</v>
      </c>
      <c r="L570" s="2" t="s">
        <v>35</v>
      </c>
      <c r="M570" s="11" t="s">
        <v>697</v>
      </c>
    </row>
    <row r="571" spans="1:13" x14ac:dyDescent="0.25">
      <c r="A571" s="10">
        <v>1569</v>
      </c>
      <c r="B571" s="3">
        <v>45016</v>
      </c>
      <c r="C571" s="2" t="s">
        <v>77</v>
      </c>
      <c r="D571" s="2" t="s">
        <v>91</v>
      </c>
      <c r="E571" s="2" t="s">
        <v>44</v>
      </c>
      <c r="F571" s="2" t="s">
        <v>17</v>
      </c>
      <c r="G571" s="4" t="s">
        <v>697</v>
      </c>
      <c r="H571" s="6">
        <v>15.99</v>
      </c>
      <c r="I571" s="4" t="str">
        <f t="shared" si="8"/>
        <v>N/A</v>
      </c>
      <c r="J571" s="2" t="s">
        <v>19</v>
      </c>
      <c r="K571" s="2" t="s">
        <v>45</v>
      </c>
      <c r="L571" s="2" t="s">
        <v>35</v>
      </c>
      <c r="M571" s="11" t="s">
        <v>697</v>
      </c>
    </row>
    <row r="572" spans="1:13" x14ac:dyDescent="0.25">
      <c r="A572" s="10">
        <v>1570</v>
      </c>
      <c r="B572" s="3">
        <v>45259</v>
      </c>
      <c r="C572" s="2" t="s">
        <v>37</v>
      </c>
      <c r="D572" s="2" t="s">
        <v>169</v>
      </c>
      <c r="E572" s="2" t="s">
        <v>72</v>
      </c>
      <c r="F572" s="2" t="s">
        <v>73</v>
      </c>
      <c r="G572" s="2">
        <v>3</v>
      </c>
      <c r="H572" s="6">
        <v>49.99</v>
      </c>
      <c r="I572" s="4">
        <f t="shared" si="8"/>
        <v>149.97</v>
      </c>
      <c r="J572" s="2" t="s">
        <v>27</v>
      </c>
      <c r="K572" s="2" t="s">
        <v>55</v>
      </c>
      <c r="L572" s="2" t="s">
        <v>40</v>
      </c>
      <c r="M572" s="11" t="s">
        <v>697</v>
      </c>
    </row>
    <row r="573" spans="1:13" x14ac:dyDescent="0.25">
      <c r="A573" s="10">
        <v>1571</v>
      </c>
      <c r="B573" s="3">
        <v>45312</v>
      </c>
      <c r="C573" s="2" t="s">
        <v>14</v>
      </c>
      <c r="D573" s="2" t="s">
        <v>75</v>
      </c>
      <c r="E573" s="2" t="s">
        <v>52</v>
      </c>
      <c r="F573" s="2" t="s">
        <v>53</v>
      </c>
      <c r="G573" s="2">
        <v>1</v>
      </c>
      <c r="H573" s="6">
        <v>59.99</v>
      </c>
      <c r="I573" s="4">
        <f t="shared" si="8"/>
        <v>59.99</v>
      </c>
      <c r="J573" s="2" t="s">
        <v>33</v>
      </c>
      <c r="K573" s="2" t="s">
        <v>28</v>
      </c>
      <c r="L573" s="2" t="s">
        <v>35</v>
      </c>
      <c r="M573" s="11" t="s">
        <v>697</v>
      </c>
    </row>
    <row r="574" spans="1:13" x14ac:dyDescent="0.25">
      <c r="A574" s="10">
        <v>1572</v>
      </c>
      <c r="B574" s="3">
        <v>44972</v>
      </c>
      <c r="C574" s="2" t="s">
        <v>23</v>
      </c>
      <c r="D574" s="2" t="s">
        <v>24</v>
      </c>
      <c r="E574" s="2" t="s">
        <v>82</v>
      </c>
      <c r="F574" s="2" t="s">
        <v>60</v>
      </c>
      <c r="G574" s="2">
        <v>5</v>
      </c>
      <c r="H574" s="6">
        <v>4.99</v>
      </c>
      <c r="I574" s="4">
        <f t="shared" si="8"/>
        <v>24.950000000000003</v>
      </c>
      <c r="J574" s="2" t="s">
        <v>33</v>
      </c>
      <c r="K574" s="2" t="s">
        <v>129</v>
      </c>
      <c r="L574" s="2" t="s">
        <v>35</v>
      </c>
      <c r="M574" s="11" t="s">
        <v>697</v>
      </c>
    </row>
    <row r="575" spans="1:13" x14ac:dyDescent="0.25">
      <c r="A575" s="10">
        <v>1573</v>
      </c>
      <c r="B575" s="3">
        <v>45244</v>
      </c>
      <c r="C575" s="2" t="s">
        <v>42</v>
      </c>
      <c r="D575" s="2" t="s">
        <v>116</v>
      </c>
      <c r="E575" s="2" t="s">
        <v>82</v>
      </c>
      <c r="F575" s="2" t="s">
        <v>60</v>
      </c>
      <c r="G575" s="2">
        <v>4</v>
      </c>
      <c r="H575" s="6">
        <v>4.99</v>
      </c>
      <c r="I575" s="4">
        <f t="shared" si="8"/>
        <v>19.96</v>
      </c>
      <c r="J575" s="2" t="s">
        <v>54</v>
      </c>
      <c r="K575" s="2" t="s">
        <v>45</v>
      </c>
      <c r="L575" s="2" t="s">
        <v>35</v>
      </c>
      <c r="M575" s="11" t="s">
        <v>697</v>
      </c>
    </row>
    <row r="576" spans="1:13" x14ac:dyDescent="0.25">
      <c r="A576" s="10">
        <v>1574</v>
      </c>
      <c r="B576" s="5" t="s">
        <v>697</v>
      </c>
      <c r="C576" s="2" t="s">
        <v>42</v>
      </c>
      <c r="D576" s="2" t="s">
        <v>43</v>
      </c>
      <c r="E576" s="2" t="s">
        <v>92</v>
      </c>
      <c r="F576" s="2" t="s">
        <v>26</v>
      </c>
      <c r="G576" s="2">
        <v>5</v>
      </c>
      <c r="H576" s="6">
        <v>14.99</v>
      </c>
      <c r="I576" s="4">
        <f t="shared" si="8"/>
        <v>74.95</v>
      </c>
      <c r="J576" s="2" t="s">
        <v>54</v>
      </c>
      <c r="K576" s="2" t="s">
        <v>55</v>
      </c>
      <c r="L576" s="2" t="s">
        <v>35</v>
      </c>
      <c r="M576" s="11" t="s">
        <v>697</v>
      </c>
    </row>
    <row r="577" spans="1:13" x14ac:dyDescent="0.25">
      <c r="A577" s="10">
        <v>1575</v>
      </c>
      <c r="B577" s="3">
        <v>45177</v>
      </c>
      <c r="C577" s="2" t="s">
        <v>37</v>
      </c>
      <c r="D577" s="2" t="s">
        <v>162</v>
      </c>
      <c r="E577" s="2" t="s">
        <v>92</v>
      </c>
      <c r="F577" s="2" t="s">
        <v>26</v>
      </c>
      <c r="G577" s="2">
        <v>3</v>
      </c>
      <c r="H577" s="6">
        <v>14.99</v>
      </c>
      <c r="I577" s="4">
        <f t="shared" si="8"/>
        <v>44.97</v>
      </c>
      <c r="J577" s="2" t="s">
        <v>27</v>
      </c>
      <c r="K577" s="2" t="s">
        <v>28</v>
      </c>
      <c r="L577" s="2" t="s">
        <v>35</v>
      </c>
      <c r="M577" s="11" t="s">
        <v>697</v>
      </c>
    </row>
    <row r="578" spans="1:13" x14ac:dyDescent="0.25">
      <c r="A578" s="10">
        <v>1576</v>
      </c>
      <c r="B578" s="3">
        <v>45397</v>
      </c>
      <c r="C578" s="2" t="s">
        <v>77</v>
      </c>
      <c r="D578" s="2" t="s">
        <v>114</v>
      </c>
      <c r="E578" s="2" t="s">
        <v>85</v>
      </c>
      <c r="F578" s="2" t="s">
        <v>26</v>
      </c>
      <c r="G578" s="2">
        <v>1</v>
      </c>
      <c r="H578" s="6">
        <v>99.99</v>
      </c>
      <c r="I578" s="4">
        <f t="shared" si="8"/>
        <v>99.99</v>
      </c>
      <c r="J578" s="2" t="s">
        <v>33</v>
      </c>
      <c r="K578" s="2" t="s">
        <v>129</v>
      </c>
      <c r="L578" s="2" t="s">
        <v>35</v>
      </c>
      <c r="M578" s="11" t="s">
        <v>697</v>
      </c>
    </row>
    <row r="579" spans="1:13" x14ac:dyDescent="0.25">
      <c r="A579" s="10">
        <v>1577</v>
      </c>
      <c r="B579" s="5" t="s">
        <v>697</v>
      </c>
      <c r="C579" s="2" t="s">
        <v>65</v>
      </c>
      <c r="D579" s="2" t="s">
        <v>126</v>
      </c>
      <c r="E579" s="2" t="s">
        <v>52</v>
      </c>
      <c r="F579" s="2" t="s">
        <v>53</v>
      </c>
      <c r="G579" s="2">
        <v>3</v>
      </c>
      <c r="H579" s="6">
        <v>59.99</v>
      </c>
      <c r="I579" s="4">
        <f t="shared" ref="I579:I642" si="9">IF(G579="N/A","N/A",PRODUCT(G579,H579))</f>
        <v>179.97</v>
      </c>
      <c r="J579" s="2" t="s">
        <v>19</v>
      </c>
      <c r="K579" s="2" t="s">
        <v>55</v>
      </c>
      <c r="L579" s="2" t="s">
        <v>35</v>
      </c>
      <c r="M579" s="11" t="s">
        <v>697</v>
      </c>
    </row>
    <row r="580" spans="1:13" x14ac:dyDescent="0.25">
      <c r="A580" s="10">
        <v>1578</v>
      </c>
      <c r="B580" s="3">
        <v>45204</v>
      </c>
      <c r="C580" s="2" t="s">
        <v>23</v>
      </c>
      <c r="D580" s="2" t="s">
        <v>81</v>
      </c>
      <c r="E580" s="2" t="s">
        <v>127</v>
      </c>
      <c r="F580" s="2" t="s">
        <v>73</v>
      </c>
      <c r="G580" s="2">
        <v>3</v>
      </c>
      <c r="H580" s="6">
        <v>29.99</v>
      </c>
      <c r="I580" s="4">
        <f t="shared" si="9"/>
        <v>89.97</v>
      </c>
      <c r="J580" s="2" t="s">
        <v>54</v>
      </c>
      <c r="K580" s="2" t="s">
        <v>55</v>
      </c>
      <c r="L580" s="2" t="s">
        <v>40</v>
      </c>
      <c r="M580" s="11" t="s">
        <v>697</v>
      </c>
    </row>
    <row r="581" spans="1:13" x14ac:dyDescent="0.25">
      <c r="A581" s="10">
        <v>1579</v>
      </c>
      <c r="B581" s="3">
        <v>45126</v>
      </c>
      <c r="C581" s="2" t="s">
        <v>14</v>
      </c>
      <c r="D581" s="2" t="s">
        <v>84</v>
      </c>
      <c r="E581" s="2" t="s">
        <v>127</v>
      </c>
      <c r="F581" s="2" t="s">
        <v>73</v>
      </c>
      <c r="G581" s="4" t="s">
        <v>697</v>
      </c>
      <c r="H581" s="6">
        <v>29.99</v>
      </c>
      <c r="I581" s="4" t="str">
        <f t="shared" si="9"/>
        <v>N/A</v>
      </c>
      <c r="J581" s="2" t="s">
        <v>19</v>
      </c>
      <c r="K581" s="2" t="s">
        <v>45</v>
      </c>
      <c r="L581" s="2" t="s">
        <v>29</v>
      </c>
      <c r="M581" s="11" t="s">
        <v>697</v>
      </c>
    </row>
    <row r="582" spans="1:13" x14ac:dyDescent="0.25">
      <c r="A582" s="10">
        <v>1580</v>
      </c>
      <c r="B582" s="3">
        <v>45127</v>
      </c>
      <c r="C582" s="2" t="s">
        <v>42</v>
      </c>
      <c r="D582" s="2" t="s">
        <v>43</v>
      </c>
      <c r="E582" s="2" t="s">
        <v>52</v>
      </c>
      <c r="F582" s="2" t="s">
        <v>53</v>
      </c>
      <c r="G582" s="2">
        <v>4</v>
      </c>
      <c r="H582" s="6">
        <v>59.99</v>
      </c>
      <c r="I582" s="4">
        <f t="shared" si="9"/>
        <v>239.96</v>
      </c>
      <c r="J582" s="2" t="s">
        <v>33</v>
      </c>
      <c r="K582" s="2" t="s">
        <v>28</v>
      </c>
      <c r="L582" s="2" t="s">
        <v>35</v>
      </c>
      <c r="M582" s="11" t="s">
        <v>697</v>
      </c>
    </row>
    <row r="583" spans="1:13" x14ac:dyDescent="0.25">
      <c r="A583" s="10">
        <v>1581</v>
      </c>
      <c r="B583" s="3">
        <v>45083</v>
      </c>
      <c r="C583" s="2" t="s">
        <v>77</v>
      </c>
      <c r="D583" s="2" t="s">
        <v>78</v>
      </c>
      <c r="E583" s="2" t="s">
        <v>72</v>
      </c>
      <c r="F583" s="2" t="s">
        <v>73</v>
      </c>
      <c r="G583" s="2">
        <v>4</v>
      </c>
      <c r="H583" s="6">
        <v>49.99</v>
      </c>
      <c r="I583" s="4">
        <f t="shared" si="9"/>
        <v>199.96</v>
      </c>
      <c r="J583" s="2" t="s">
        <v>33</v>
      </c>
      <c r="K583" s="2" t="s">
        <v>28</v>
      </c>
      <c r="L583" s="2" t="s">
        <v>35</v>
      </c>
      <c r="M583" s="11" t="s">
        <v>697</v>
      </c>
    </row>
    <row r="584" spans="1:13" x14ac:dyDescent="0.25">
      <c r="A584" s="10">
        <v>1582</v>
      </c>
      <c r="B584" s="5" t="s">
        <v>697</v>
      </c>
      <c r="C584" s="2" t="s">
        <v>70</v>
      </c>
      <c r="D584" s="2" t="s">
        <v>131</v>
      </c>
      <c r="E584" s="2" t="s">
        <v>39</v>
      </c>
      <c r="F584" s="2" t="s">
        <v>17</v>
      </c>
      <c r="G584" s="4" t="s">
        <v>697</v>
      </c>
      <c r="H584" s="6">
        <v>39.99</v>
      </c>
      <c r="I584" s="4" t="str">
        <f t="shared" si="9"/>
        <v>N/A</v>
      </c>
      <c r="J584" s="2" t="s">
        <v>33</v>
      </c>
      <c r="K584" s="2" t="s">
        <v>28</v>
      </c>
      <c r="L584" s="2" t="s">
        <v>35</v>
      </c>
      <c r="M584" s="11" t="s">
        <v>697</v>
      </c>
    </row>
    <row r="585" spans="1:13" x14ac:dyDescent="0.25">
      <c r="A585" s="10">
        <v>1583</v>
      </c>
      <c r="B585" s="3">
        <v>45197</v>
      </c>
      <c r="C585" s="2" t="s">
        <v>70</v>
      </c>
      <c r="D585" s="2" t="s">
        <v>71</v>
      </c>
      <c r="E585" s="2" t="s">
        <v>92</v>
      </c>
      <c r="F585" s="2" t="s">
        <v>26</v>
      </c>
      <c r="G585" s="2">
        <v>5</v>
      </c>
      <c r="H585" s="6">
        <v>14.99</v>
      </c>
      <c r="I585" s="4">
        <f t="shared" si="9"/>
        <v>74.95</v>
      </c>
      <c r="J585" s="2" t="s">
        <v>33</v>
      </c>
      <c r="K585" s="2" t="s">
        <v>45</v>
      </c>
      <c r="L585" s="2" t="s">
        <v>35</v>
      </c>
      <c r="M585" s="11" t="s">
        <v>697</v>
      </c>
    </row>
    <row r="586" spans="1:13" x14ac:dyDescent="0.25">
      <c r="A586" s="10">
        <v>1584</v>
      </c>
      <c r="B586" s="5" t="s">
        <v>697</v>
      </c>
      <c r="C586" s="2" t="s">
        <v>77</v>
      </c>
      <c r="D586" s="2" t="s">
        <v>91</v>
      </c>
      <c r="E586" s="2" t="s">
        <v>127</v>
      </c>
      <c r="F586" s="2" t="s">
        <v>73</v>
      </c>
      <c r="G586" s="4" t="s">
        <v>697</v>
      </c>
      <c r="H586" s="6">
        <v>29.99</v>
      </c>
      <c r="I586" s="4" t="str">
        <f t="shared" si="9"/>
        <v>N/A</v>
      </c>
      <c r="J586" s="2" t="s">
        <v>27</v>
      </c>
      <c r="K586" s="2" t="s">
        <v>45</v>
      </c>
      <c r="L586" s="2" t="s">
        <v>35</v>
      </c>
      <c r="M586" s="11" t="s">
        <v>697</v>
      </c>
    </row>
    <row r="587" spans="1:13" x14ac:dyDescent="0.25">
      <c r="A587" s="10">
        <v>1585</v>
      </c>
      <c r="B587" s="3">
        <v>45176</v>
      </c>
      <c r="C587" s="2" t="s">
        <v>14</v>
      </c>
      <c r="D587" s="2" t="s">
        <v>15</v>
      </c>
      <c r="E587" s="2" t="s">
        <v>31</v>
      </c>
      <c r="F587" s="2" t="s">
        <v>32</v>
      </c>
      <c r="G587" s="2">
        <v>5</v>
      </c>
      <c r="H587" s="6">
        <v>79.989999999999995</v>
      </c>
      <c r="I587" s="4">
        <f t="shared" si="9"/>
        <v>399.95</v>
      </c>
      <c r="J587" s="2" t="s">
        <v>33</v>
      </c>
      <c r="K587" s="2" t="s">
        <v>45</v>
      </c>
      <c r="L587" s="2" t="s">
        <v>29</v>
      </c>
      <c r="M587" s="11" t="s">
        <v>697</v>
      </c>
    </row>
    <row r="588" spans="1:13" x14ac:dyDescent="0.25">
      <c r="A588" s="10">
        <v>1586</v>
      </c>
      <c r="B588" s="3">
        <v>45302</v>
      </c>
      <c r="C588" s="2" t="s">
        <v>65</v>
      </c>
      <c r="D588" s="4" t="s">
        <v>697</v>
      </c>
      <c r="E588" s="2" t="s">
        <v>52</v>
      </c>
      <c r="F588" s="2" t="s">
        <v>53</v>
      </c>
      <c r="G588" s="2">
        <v>1</v>
      </c>
      <c r="H588" s="6">
        <v>59.99</v>
      </c>
      <c r="I588" s="4">
        <f t="shared" si="9"/>
        <v>59.99</v>
      </c>
      <c r="J588" s="2" t="s">
        <v>54</v>
      </c>
      <c r="K588" s="2" t="s">
        <v>28</v>
      </c>
      <c r="L588" s="2" t="s">
        <v>35</v>
      </c>
      <c r="M588" s="11" t="s">
        <v>697</v>
      </c>
    </row>
    <row r="589" spans="1:13" x14ac:dyDescent="0.25">
      <c r="A589" s="10">
        <v>1587</v>
      </c>
      <c r="B589" s="3">
        <v>45126</v>
      </c>
      <c r="C589" s="2" t="s">
        <v>23</v>
      </c>
      <c r="D589" s="2" t="s">
        <v>81</v>
      </c>
      <c r="E589" s="2" t="s">
        <v>52</v>
      </c>
      <c r="F589" s="2" t="s">
        <v>53</v>
      </c>
      <c r="G589" s="4" t="s">
        <v>697</v>
      </c>
      <c r="H589" s="6">
        <v>59.99</v>
      </c>
      <c r="I589" s="4" t="str">
        <f t="shared" si="9"/>
        <v>N/A</v>
      </c>
      <c r="J589" s="2" t="s">
        <v>19</v>
      </c>
      <c r="K589" s="2" t="s">
        <v>129</v>
      </c>
      <c r="L589" s="2" t="s">
        <v>35</v>
      </c>
      <c r="M589" s="12" t="s">
        <v>63</v>
      </c>
    </row>
    <row r="590" spans="1:13" x14ac:dyDescent="0.25">
      <c r="A590" s="10">
        <v>1588</v>
      </c>
      <c r="B590" s="3">
        <v>45029</v>
      </c>
      <c r="C590" s="2" t="s">
        <v>14</v>
      </c>
      <c r="D590" s="2" t="s">
        <v>15</v>
      </c>
      <c r="E590" s="2" t="s">
        <v>92</v>
      </c>
      <c r="F590" s="2" t="s">
        <v>26</v>
      </c>
      <c r="G590" s="2">
        <v>1</v>
      </c>
      <c r="H590" s="6">
        <v>14.99</v>
      </c>
      <c r="I590" s="4">
        <f t="shared" si="9"/>
        <v>14.99</v>
      </c>
      <c r="J590" s="2" t="s">
        <v>27</v>
      </c>
      <c r="K590" s="2" t="s">
        <v>45</v>
      </c>
      <c r="L590" s="2" t="s">
        <v>35</v>
      </c>
      <c r="M590" s="11" t="s">
        <v>697</v>
      </c>
    </row>
    <row r="591" spans="1:13" x14ac:dyDescent="0.25">
      <c r="A591" s="10">
        <v>1589</v>
      </c>
      <c r="B591" s="3">
        <v>44931</v>
      </c>
      <c r="C591" s="2" t="s">
        <v>42</v>
      </c>
      <c r="D591" s="2" t="s">
        <v>48</v>
      </c>
      <c r="E591" s="2" t="s">
        <v>52</v>
      </c>
      <c r="F591" s="2" t="s">
        <v>53</v>
      </c>
      <c r="G591" s="4" t="s">
        <v>697</v>
      </c>
      <c r="H591" s="6">
        <v>59.99</v>
      </c>
      <c r="I591" s="4" t="str">
        <f t="shared" si="9"/>
        <v>N/A</v>
      </c>
      <c r="J591" s="2" t="s">
        <v>54</v>
      </c>
      <c r="K591" s="2" t="s">
        <v>28</v>
      </c>
      <c r="L591" s="2" t="s">
        <v>35</v>
      </c>
      <c r="M591" s="11" t="s">
        <v>697</v>
      </c>
    </row>
    <row r="592" spans="1:13" x14ac:dyDescent="0.25">
      <c r="A592" s="10">
        <v>1590</v>
      </c>
      <c r="B592" s="5" t="s">
        <v>697</v>
      </c>
      <c r="C592" s="2" t="s">
        <v>697</v>
      </c>
      <c r="D592" s="2" t="s">
        <v>91</v>
      </c>
      <c r="E592" s="2" t="s">
        <v>52</v>
      </c>
      <c r="F592" s="2" t="s">
        <v>53</v>
      </c>
      <c r="G592" s="2">
        <v>5</v>
      </c>
      <c r="H592" s="6">
        <v>59.99</v>
      </c>
      <c r="I592" s="4">
        <f t="shared" si="9"/>
        <v>299.95</v>
      </c>
      <c r="J592" s="2" t="s">
        <v>33</v>
      </c>
      <c r="K592" s="2" t="s">
        <v>45</v>
      </c>
      <c r="L592" s="2" t="s">
        <v>40</v>
      </c>
      <c r="M592" s="11" t="s">
        <v>697</v>
      </c>
    </row>
    <row r="593" spans="1:13" x14ac:dyDescent="0.25">
      <c r="A593" s="10">
        <v>1591</v>
      </c>
      <c r="B593" s="3">
        <v>45084</v>
      </c>
      <c r="C593" s="2" t="s">
        <v>77</v>
      </c>
      <c r="D593" s="2" t="s">
        <v>91</v>
      </c>
      <c r="E593" s="2" t="s">
        <v>52</v>
      </c>
      <c r="F593" s="2" t="s">
        <v>53</v>
      </c>
      <c r="G593" s="2">
        <v>1</v>
      </c>
      <c r="H593" s="6">
        <v>59.99</v>
      </c>
      <c r="I593" s="4">
        <f t="shared" si="9"/>
        <v>59.99</v>
      </c>
      <c r="J593" s="2" t="s">
        <v>27</v>
      </c>
      <c r="K593" s="2" t="s">
        <v>129</v>
      </c>
      <c r="L593" s="2" t="s">
        <v>35</v>
      </c>
      <c r="M593" s="11" t="s">
        <v>697</v>
      </c>
    </row>
    <row r="594" spans="1:13" x14ac:dyDescent="0.25">
      <c r="A594" s="10">
        <v>1592</v>
      </c>
      <c r="B594" s="3">
        <v>45025</v>
      </c>
      <c r="C594" s="2" t="s">
        <v>70</v>
      </c>
      <c r="D594" s="2" t="s">
        <v>131</v>
      </c>
      <c r="E594" s="2" t="s">
        <v>72</v>
      </c>
      <c r="F594" s="2" t="s">
        <v>73</v>
      </c>
      <c r="G594" s="2">
        <v>4</v>
      </c>
      <c r="H594" s="6">
        <v>49.99</v>
      </c>
      <c r="I594" s="4">
        <f t="shared" si="9"/>
        <v>199.96</v>
      </c>
      <c r="J594" s="2" t="s">
        <v>33</v>
      </c>
      <c r="K594" s="2" t="s">
        <v>28</v>
      </c>
      <c r="L594" s="2" t="s">
        <v>29</v>
      </c>
      <c r="M594" s="11" t="s">
        <v>697</v>
      </c>
    </row>
    <row r="595" spans="1:13" x14ac:dyDescent="0.25">
      <c r="A595" s="10">
        <v>1593</v>
      </c>
      <c r="B595" s="5" t="s">
        <v>697</v>
      </c>
      <c r="C595" s="2" t="s">
        <v>42</v>
      </c>
      <c r="D595" s="2" t="s">
        <v>43</v>
      </c>
      <c r="E595" s="2" t="s">
        <v>127</v>
      </c>
      <c r="F595" s="2" t="s">
        <v>73</v>
      </c>
      <c r="G595" s="2">
        <v>3</v>
      </c>
      <c r="H595" s="6">
        <v>29.99</v>
      </c>
      <c r="I595" s="4">
        <f t="shared" si="9"/>
        <v>89.97</v>
      </c>
      <c r="J595" s="2" t="s">
        <v>27</v>
      </c>
      <c r="K595" s="2" t="s">
        <v>34</v>
      </c>
      <c r="L595" s="2" t="s">
        <v>35</v>
      </c>
      <c r="M595" s="12" t="s">
        <v>63</v>
      </c>
    </row>
    <row r="596" spans="1:13" x14ac:dyDescent="0.25">
      <c r="A596" s="10">
        <v>1594</v>
      </c>
      <c r="B596" s="3">
        <v>45125</v>
      </c>
      <c r="C596" s="2" t="s">
        <v>14</v>
      </c>
      <c r="D596" s="2" t="s">
        <v>84</v>
      </c>
      <c r="E596" s="2" t="s">
        <v>85</v>
      </c>
      <c r="F596" s="2" t="s">
        <v>26</v>
      </c>
      <c r="G596" s="2">
        <v>4</v>
      </c>
      <c r="H596" s="6">
        <v>99.99</v>
      </c>
      <c r="I596" s="4">
        <f t="shared" si="9"/>
        <v>399.96</v>
      </c>
      <c r="J596" s="2" t="s">
        <v>33</v>
      </c>
      <c r="K596" s="2" t="s">
        <v>55</v>
      </c>
      <c r="L596" s="2" t="s">
        <v>40</v>
      </c>
      <c r="M596" s="11" t="s">
        <v>697</v>
      </c>
    </row>
    <row r="597" spans="1:13" x14ac:dyDescent="0.25">
      <c r="A597" s="10">
        <v>1595</v>
      </c>
      <c r="B597" s="5" t="s">
        <v>697</v>
      </c>
      <c r="C597" s="2" t="s">
        <v>697</v>
      </c>
      <c r="D597" s="2" t="s">
        <v>48</v>
      </c>
      <c r="E597" s="2" t="s">
        <v>52</v>
      </c>
      <c r="F597" s="2" t="s">
        <v>53</v>
      </c>
      <c r="G597" s="2">
        <v>2</v>
      </c>
      <c r="H597" s="6">
        <v>59.99</v>
      </c>
      <c r="I597" s="4">
        <f t="shared" si="9"/>
        <v>119.98</v>
      </c>
      <c r="J597" s="2" t="s">
        <v>27</v>
      </c>
      <c r="K597" s="2" t="s">
        <v>45</v>
      </c>
      <c r="L597" s="2" t="s">
        <v>35</v>
      </c>
      <c r="M597" s="11" t="s">
        <v>697</v>
      </c>
    </row>
    <row r="598" spans="1:13" x14ac:dyDescent="0.25">
      <c r="A598" s="10">
        <v>1596</v>
      </c>
      <c r="B598" s="5" t="s">
        <v>697</v>
      </c>
      <c r="C598" s="2" t="s">
        <v>23</v>
      </c>
      <c r="D598" s="2" t="s">
        <v>81</v>
      </c>
      <c r="E598" s="2" t="s">
        <v>72</v>
      </c>
      <c r="F598" s="2" t="s">
        <v>73</v>
      </c>
      <c r="G598" s="2">
        <v>2</v>
      </c>
      <c r="H598" s="6">
        <v>49.99</v>
      </c>
      <c r="I598" s="4">
        <f t="shared" si="9"/>
        <v>99.98</v>
      </c>
      <c r="J598" s="2" t="s">
        <v>19</v>
      </c>
      <c r="K598" s="2" t="s">
        <v>45</v>
      </c>
      <c r="L598" s="2" t="s">
        <v>40</v>
      </c>
      <c r="M598" s="12" t="s">
        <v>63</v>
      </c>
    </row>
    <row r="599" spans="1:13" x14ac:dyDescent="0.25">
      <c r="A599" s="10">
        <v>1597</v>
      </c>
      <c r="B599" s="3">
        <v>45097</v>
      </c>
      <c r="C599" s="2" t="s">
        <v>42</v>
      </c>
      <c r="D599" s="2" t="s">
        <v>116</v>
      </c>
      <c r="E599" s="2" t="s">
        <v>82</v>
      </c>
      <c r="F599" s="2" t="s">
        <v>60</v>
      </c>
      <c r="G599" s="2">
        <v>3</v>
      </c>
      <c r="H599" s="6">
        <v>4.99</v>
      </c>
      <c r="I599" s="4">
        <f t="shared" si="9"/>
        <v>14.97</v>
      </c>
      <c r="J599" s="2" t="s">
        <v>27</v>
      </c>
      <c r="K599" s="2" t="s">
        <v>34</v>
      </c>
      <c r="L599" s="2" t="s">
        <v>35</v>
      </c>
      <c r="M599" s="11" t="s">
        <v>697</v>
      </c>
    </row>
    <row r="600" spans="1:13" x14ac:dyDescent="0.25">
      <c r="A600" s="10">
        <v>1598</v>
      </c>
      <c r="B600" s="3">
        <v>45149</v>
      </c>
      <c r="C600" s="2" t="s">
        <v>14</v>
      </c>
      <c r="D600" s="2" t="s">
        <v>75</v>
      </c>
      <c r="E600" s="2" t="s">
        <v>39</v>
      </c>
      <c r="F600" s="2" t="s">
        <v>17</v>
      </c>
      <c r="G600" s="2">
        <v>3</v>
      </c>
      <c r="H600" s="6">
        <v>39.99</v>
      </c>
      <c r="I600" s="4">
        <f t="shared" si="9"/>
        <v>119.97</v>
      </c>
      <c r="J600" s="2" t="s">
        <v>33</v>
      </c>
      <c r="K600" s="2" t="s">
        <v>55</v>
      </c>
      <c r="L600" s="2" t="s">
        <v>40</v>
      </c>
      <c r="M600" s="11" t="s">
        <v>697</v>
      </c>
    </row>
    <row r="601" spans="1:13" x14ac:dyDescent="0.25">
      <c r="A601" s="10">
        <v>1599</v>
      </c>
      <c r="B601" s="3">
        <v>45370</v>
      </c>
      <c r="C601" s="2" t="s">
        <v>23</v>
      </c>
      <c r="D601" s="2" t="s">
        <v>124</v>
      </c>
      <c r="E601" s="2" t="s">
        <v>52</v>
      </c>
      <c r="F601" s="2" t="s">
        <v>53</v>
      </c>
      <c r="G601" s="2">
        <v>4</v>
      </c>
      <c r="H601" s="6">
        <v>59.99</v>
      </c>
      <c r="I601" s="4">
        <f t="shared" si="9"/>
        <v>239.96</v>
      </c>
      <c r="J601" s="2" t="s">
        <v>19</v>
      </c>
      <c r="K601" s="2" t="s">
        <v>28</v>
      </c>
      <c r="L601" s="2" t="s">
        <v>29</v>
      </c>
      <c r="M601" s="11" t="s">
        <v>697</v>
      </c>
    </row>
    <row r="602" spans="1:13" x14ac:dyDescent="0.25">
      <c r="A602" s="10">
        <v>1600</v>
      </c>
      <c r="B602" s="5" t="s">
        <v>697</v>
      </c>
      <c r="C602" s="2" t="s">
        <v>23</v>
      </c>
      <c r="D602" s="2" t="s">
        <v>81</v>
      </c>
      <c r="E602" s="2" t="s">
        <v>31</v>
      </c>
      <c r="F602" s="2" t="s">
        <v>32</v>
      </c>
      <c r="G602" s="2">
        <v>1</v>
      </c>
      <c r="H602" s="6">
        <v>79.989999999999995</v>
      </c>
      <c r="I602" s="4">
        <f t="shared" si="9"/>
        <v>79.989999999999995</v>
      </c>
      <c r="J602" s="2" t="s">
        <v>33</v>
      </c>
      <c r="K602" s="2" t="s">
        <v>55</v>
      </c>
      <c r="L602" s="2" t="s">
        <v>29</v>
      </c>
      <c r="M602" s="11" t="s">
        <v>697</v>
      </c>
    </row>
    <row r="603" spans="1:13" x14ac:dyDescent="0.25">
      <c r="A603" s="10">
        <v>1601</v>
      </c>
      <c r="B603" s="3">
        <v>45354</v>
      </c>
      <c r="C603" s="2" t="s">
        <v>14</v>
      </c>
      <c r="D603" s="2" t="s">
        <v>75</v>
      </c>
      <c r="E603" s="2" t="s">
        <v>52</v>
      </c>
      <c r="F603" s="2" t="s">
        <v>53</v>
      </c>
      <c r="G603" s="2">
        <v>1</v>
      </c>
      <c r="H603" s="6">
        <v>59.99</v>
      </c>
      <c r="I603" s="4">
        <f t="shared" si="9"/>
        <v>59.99</v>
      </c>
      <c r="J603" s="2" t="s">
        <v>27</v>
      </c>
      <c r="K603" s="2" t="s">
        <v>45</v>
      </c>
      <c r="L603" s="2" t="s">
        <v>35</v>
      </c>
      <c r="M603" s="11" t="s">
        <v>697</v>
      </c>
    </row>
    <row r="604" spans="1:13" x14ac:dyDescent="0.25">
      <c r="A604" s="10">
        <v>1602</v>
      </c>
      <c r="B604" s="3">
        <v>45108</v>
      </c>
      <c r="C604" s="2" t="s">
        <v>37</v>
      </c>
      <c r="D604" s="2" t="s">
        <v>162</v>
      </c>
      <c r="E604" s="2" t="s">
        <v>44</v>
      </c>
      <c r="F604" s="2" t="s">
        <v>17</v>
      </c>
      <c r="G604" s="4" t="s">
        <v>697</v>
      </c>
      <c r="H604" s="6">
        <v>15.99</v>
      </c>
      <c r="I604" s="4" t="str">
        <f t="shared" si="9"/>
        <v>N/A</v>
      </c>
      <c r="J604" s="2" t="s">
        <v>54</v>
      </c>
      <c r="K604" s="2" t="s">
        <v>28</v>
      </c>
      <c r="L604" s="2" t="s">
        <v>40</v>
      </c>
      <c r="M604" s="11" t="s">
        <v>697</v>
      </c>
    </row>
    <row r="605" spans="1:13" x14ac:dyDescent="0.25">
      <c r="A605" s="10">
        <v>1603</v>
      </c>
      <c r="B605" s="5" t="s">
        <v>697</v>
      </c>
      <c r="C605" s="2" t="s">
        <v>23</v>
      </c>
      <c r="D605" s="2" t="s">
        <v>81</v>
      </c>
      <c r="E605" s="2" t="s">
        <v>85</v>
      </c>
      <c r="F605" s="2" t="s">
        <v>26</v>
      </c>
      <c r="G605" s="2">
        <v>3</v>
      </c>
      <c r="H605" s="6">
        <v>99.99</v>
      </c>
      <c r="I605" s="4">
        <f t="shared" si="9"/>
        <v>299.96999999999997</v>
      </c>
      <c r="J605" s="2" t="s">
        <v>27</v>
      </c>
      <c r="K605" s="2" t="s">
        <v>28</v>
      </c>
      <c r="L605" s="2" t="s">
        <v>35</v>
      </c>
      <c r="M605" s="11" t="s">
        <v>697</v>
      </c>
    </row>
    <row r="606" spans="1:13" x14ac:dyDescent="0.25">
      <c r="A606" s="10">
        <v>1604</v>
      </c>
      <c r="B606" s="5" t="s">
        <v>697</v>
      </c>
      <c r="C606" s="2" t="s">
        <v>23</v>
      </c>
      <c r="D606" s="2" t="s">
        <v>81</v>
      </c>
      <c r="E606" s="2" t="s">
        <v>85</v>
      </c>
      <c r="F606" s="2" t="s">
        <v>26</v>
      </c>
      <c r="G606" s="2">
        <v>3</v>
      </c>
      <c r="H606" s="6">
        <v>99.99</v>
      </c>
      <c r="I606" s="4">
        <f t="shared" si="9"/>
        <v>299.96999999999997</v>
      </c>
      <c r="J606" s="2" t="s">
        <v>33</v>
      </c>
      <c r="K606" s="2" t="s">
        <v>129</v>
      </c>
      <c r="L606" s="2" t="s">
        <v>40</v>
      </c>
      <c r="M606" s="11" t="s">
        <v>697</v>
      </c>
    </row>
    <row r="607" spans="1:13" x14ac:dyDescent="0.25">
      <c r="A607" s="10">
        <v>1605</v>
      </c>
      <c r="B607" s="3">
        <v>45367</v>
      </c>
      <c r="C607" s="2" t="s">
        <v>77</v>
      </c>
      <c r="D607" s="2" t="s">
        <v>91</v>
      </c>
      <c r="E607" s="2" t="s">
        <v>72</v>
      </c>
      <c r="F607" s="2" t="s">
        <v>73</v>
      </c>
      <c r="G607" s="2">
        <v>1</v>
      </c>
      <c r="H607" s="6">
        <v>49.99</v>
      </c>
      <c r="I607" s="4">
        <f t="shared" si="9"/>
        <v>49.99</v>
      </c>
      <c r="J607" s="2" t="s">
        <v>19</v>
      </c>
      <c r="K607" s="2" t="s">
        <v>28</v>
      </c>
      <c r="L607" s="2" t="s">
        <v>35</v>
      </c>
      <c r="M607" s="11" t="s">
        <v>697</v>
      </c>
    </row>
    <row r="608" spans="1:13" x14ac:dyDescent="0.25">
      <c r="A608" s="10">
        <v>1606</v>
      </c>
      <c r="B608" s="5" t="s">
        <v>697</v>
      </c>
      <c r="C608" s="2" t="s">
        <v>37</v>
      </c>
      <c r="D608" s="2" t="s">
        <v>162</v>
      </c>
      <c r="E608" s="2" t="s">
        <v>52</v>
      </c>
      <c r="F608" s="2" t="s">
        <v>53</v>
      </c>
      <c r="G608" s="4" t="s">
        <v>697</v>
      </c>
      <c r="H608" s="6">
        <v>59.99</v>
      </c>
      <c r="I608" s="4" t="str">
        <f t="shared" si="9"/>
        <v>N/A</v>
      </c>
      <c r="J608" s="2" t="s">
        <v>33</v>
      </c>
      <c r="K608" s="2" t="s">
        <v>28</v>
      </c>
      <c r="L608" s="2" t="s">
        <v>35</v>
      </c>
      <c r="M608" s="11" t="s">
        <v>697</v>
      </c>
    </row>
    <row r="609" spans="1:13" x14ac:dyDescent="0.25">
      <c r="A609" s="10">
        <v>1607</v>
      </c>
      <c r="B609" s="3">
        <v>45420</v>
      </c>
      <c r="C609" s="2" t="s">
        <v>42</v>
      </c>
      <c r="D609" s="2" t="s">
        <v>43</v>
      </c>
      <c r="E609" s="2" t="s">
        <v>31</v>
      </c>
      <c r="F609" s="2" t="s">
        <v>32</v>
      </c>
      <c r="G609" s="4" t="s">
        <v>697</v>
      </c>
      <c r="H609" s="6">
        <v>79.989999999999995</v>
      </c>
      <c r="I609" s="4" t="str">
        <f t="shared" si="9"/>
        <v>N/A</v>
      </c>
      <c r="J609" s="2" t="s">
        <v>54</v>
      </c>
      <c r="K609" s="2" t="s">
        <v>129</v>
      </c>
      <c r="L609" s="2" t="s">
        <v>40</v>
      </c>
      <c r="M609" s="12" t="s">
        <v>63</v>
      </c>
    </row>
    <row r="610" spans="1:13" x14ac:dyDescent="0.25">
      <c r="A610" s="10">
        <v>1608</v>
      </c>
      <c r="B610" s="3">
        <v>45177</v>
      </c>
      <c r="C610" s="2" t="s">
        <v>42</v>
      </c>
      <c r="D610" s="2" t="s">
        <v>43</v>
      </c>
      <c r="E610" s="2" t="s">
        <v>82</v>
      </c>
      <c r="F610" s="2" t="s">
        <v>60</v>
      </c>
      <c r="G610" s="2">
        <v>3</v>
      </c>
      <c r="H610" s="6">
        <v>4.99</v>
      </c>
      <c r="I610" s="4">
        <f t="shared" si="9"/>
        <v>14.97</v>
      </c>
      <c r="J610" s="2" t="s">
        <v>33</v>
      </c>
      <c r="K610" s="2" t="s">
        <v>129</v>
      </c>
      <c r="L610" s="2" t="s">
        <v>35</v>
      </c>
      <c r="M610" s="11" t="s">
        <v>697</v>
      </c>
    </row>
    <row r="611" spans="1:13" x14ac:dyDescent="0.25">
      <c r="A611" s="10">
        <v>1609</v>
      </c>
      <c r="B611" s="3">
        <v>45350</v>
      </c>
      <c r="C611" s="2" t="s">
        <v>23</v>
      </c>
      <c r="D611" s="2" t="s">
        <v>81</v>
      </c>
      <c r="E611" s="2" t="s">
        <v>127</v>
      </c>
      <c r="F611" s="2" t="s">
        <v>73</v>
      </c>
      <c r="G611" s="2">
        <v>5</v>
      </c>
      <c r="H611" s="6">
        <v>29.99</v>
      </c>
      <c r="I611" s="4">
        <f t="shared" si="9"/>
        <v>149.94999999999999</v>
      </c>
      <c r="J611" s="2" t="s">
        <v>33</v>
      </c>
      <c r="K611" s="2" t="s">
        <v>34</v>
      </c>
      <c r="L611" s="2" t="s">
        <v>35</v>
      </c>
      <c r="M611" s="11" t="s">
        <v>697</v>
      </c>
    </row>
    <row r="612" spans="1:13" x14ac:dyDescent="0.25">
      <c r="A612" s="10">
        <v>1610</v>
      </c>
      <c r="B612" s="3">
        <v>45037</v>
      </c>
      <c r="C612" s="2" t="s">
        <v>42</v>
      </c>
      <c r="D612" s="2" t="s">
        <v>116</v>
      </c>
      <c r="E612" s="2" t="s">
        <v>82</v>
      </c>
      <c r="F612" s="2" t="s">
        <v>60</v>
      </c>
      <c r="G612" s="4" t="s">
        <v>697</v>
      </c>
      <c r="H612" s="6">
        <v>4.99</v>
      </c>
      <c r="I612" s="4" t="str">
        <f t="shared" si="9"/>
        <v>N/A</v>
      </c>
      <c r="J612" s="2" t="s">
        <v>19</v>
      </c>
      <c r="K612" s="2" t="s">
        <v>28</v>
      </c>
      <c r="L612" s="2" t="s">
        <v>29</v>
      </c>
      <c r="M612" s="11" t="s">
        <v>697</v>
      </c>
    </row>
    <row r="613" spans="1:13" x14ac:dyDescent="0.25">
      <c r="A613" s="10">
        <v>1611</v>
      </c>
      <c r="B613" s="5" t="s">
        <v>697</v>
      </c>
      <c r="C613" s="2" t="s">
        <v>23</v>
      </c>
      <c r="D613" s="2" t="s">
        <v>81</v>
      </c>
      <c r="E613" s="2" t="s">
        <v>52</v>
      </c>
      <c r="F613" s="2" t="s">
        <v>53</v>
      </c>
      <c r="G613" s="4" t="s">
        <v>697</v>
      </c>
      <c r="H613" s="6">
        <v>59.99</v>
      </c>
      <c r="I613" s="4" t="str">
        <f t="shared" si="9"/>
        <v>N/A</v>
      </c>
      <c r="J613" s="2" t="s">
        <v>33</v>
      </c>
      <c r="K613" s="2" t="s">
        <v>28</v>
      </c>
      <c r="L613" s="2" t="s">
        <v>35</v>
      </c>
      <c r="M613" s="12" t="s">
        <v>63</v>
      </c>
    </row>
    <row r="614" spans="1:13" x14ac:dyDescent="0.25">
      <c r="A614" s="10">
        <v>1612</v>
      </c>
      <c r="B614" s="3">
        <v>44938</v>
      </c>
      <c r="C614" s="2" t="s">
        <v>23</v>
      </c>
      <c r="D614" s="2" t="s">
        <v>124</v>
      </c>
      <c r="E614" s="2" t="s">
        <v>39</v>
      </c>
      <c r="F614" s="2" t="s">
        <v>17</v>
      </c>
      <c r="G614" s="4" t="s">
        <v>697</v>
      </c>
      <c r="H614" s="6">
        <v>39.99</v>
      </c>
      <c r="I614" s="4" t="str">
        <f t="shared" si="9"/>
        <v>N/A</v>
      </c>
      <c r="J614" s="2" t="s">
        <v>27</v>
      </c>
      <c r="K614" s="2" t="s">
        <v>28</v>
      </c>
      <c r="L614" s="2" t="s">
        <v>29</v>
      </c>
      <c r="M614" s="11" t="s">
        <v>697</v>
      </c>
    </row>
    <row r="615" spans="1:13" x14ac:dyDescent="0.25">
      <c r="A615" s="10">
        <v>1613</v>
      </c>
      <c r="B615" s="3">
        <v>45115</v>
      </c>
      <c r="C615" s="2" t="s">
        <v>65</v>
      </c>
      <c r="D615" s="2" t="s">
        <v>123</v>
      </c>
      <c r="E615" s="2" t="s">
        <v>72</v>
      </c>
      <c r="F615" s="2" t="s">
        <v>73</v>
      </c>
      <c r="G615" s="4" t="s">
        <v>697</v>
      </c>
      <c r="H615" s="6">
        <v>49.99</v>
      </c>
      <c r="I615" s="4" t="str">
        <f t="shared" si="9"/>
        <v>N/A</v>
      </c>
      <c r="J615" s="2" t="s">
        <v>33</v>
      </c>
      <c r="K615" s="2" t="s">
        <v>34</v>
      </c>
      <c r="L615" s="2" t="s">
        <v>40</v>
      </c>
      <c r="M615" s="11" t="s">
        <v>697</v>
      </c>
    </row>
    <row r="616" spans="1:13" x14ac:dyDescent="0.25">
      <c r="A616" s="10">
        <v>1614</v>
      </c>
      <c r="B616" s="3">
        <v>45076</v>
      </c>
      <c r="C616" s="2" t="s">
        <v>23</v>
      </c>
      <c r="D616" s="2" t="s">
        <v>124</v>
      </c>
      <c r="E616" s="2" t="s">
        <v>92</v>
      </c>
      <c r="F616" s="2" t="s">
        <v>26</v>
      </c>
      <c r="G616" s="2">
        <v>2</v>
      </c>
      <c r="H616" s="6">
        <v>14.99</v>
      </c>
      <c r="I616" s="4">
        <f t="shared" si="9"/>
        <v>29.98</v>
      </c>
      <c r="J616" s="2" t="s">
        <v>33</v>
      </c>
      <c r="K616" s="2" t="s">
        <v>28</v>
      </c>
      <c r="L616" s="2" t="s">
        <v>29</v>
      </c>
      <c r="M616" s="11" t="s">
        <v>697</v>
      </c>
    </row>
    <row r="617" spans="1:13" x14ac:dyDescent="0.25">
      <c r="A617" s="10">
        <v>1615</v>
      </c>
      <c r="B617" s="3">
        <v>45285</v>
      </c>
      <c r="C617" s="2" t="s">
        <v>42</v>
      </c>
      <c r="D617" s="2" t="s">
        <v>48</v>
      </c>
      <c r="E617" s="2" t="s">
        <v>52</v>
      </c>
      <c r="F617" s="2" t="s">
        <v>53</v>
      </c>
      <c r="G617" s="2">
        <v>3</v>
      </c>
      <c r="H617" s="6">
        <v>59.99</v>
      </c>
      <c r="I617" s="4">
        <f t="shared" si="9"/>
        <v>179.97</v>
      </c>
      <c r="J617" s="2" t="s">
        <v>19</v>
      </c>
      <c r="K617" s="2" t="s">
        <v>45</v>
      </c>
      <c r="L617" s="2" t="s">
        <v>35</v>
      </c>
      <c r="M617" s="11" t="s">
        <v>697</v>
      </c>
    </row>
    <row r="618" spans="1:13" x14ac:dyDescent="0.25">
      <c r="A618" s="10">
        <v>1616</v>
      </c>
      <c r="B618" s="3">
        <v>44941</v>
      </c>
      <c r="C618" s="2" t="s">
        <v>65</v>
      </c>
      <c r="D618" s="2" t="s">
        <v>123</v>
      </c>
      <c r="E618" s="2" t="s">
        <v>52</v>
      </c>
      <c r="F618" s="2" t="s">
        <v>53</v>
      </c>
      <c r="G618" s="2">
        <v>4</v>
      </c>
      <c r="H618" s="6">
        <v>59.99</v>
      </c>
      <c r="I618" s="4">
        <f t="shared" si="9"/>
        <v>239.96</v>
      </c>
      <c r="J618" s="2" t="s">
        <v>27</v>
      </c>
      <c r="K618" s="2" t="s">
        <v>28</v>
      </c>
      <c r="L618" s="2" t="s">
        <v>35</v>
      </c>
      <c r="M618" s="11" t="s">
        <v>697</v>
      </c>
    </row>
    <row r="619" spans="1:13" x14ac:dyDescent="0.25">
      <c r="A619" s="10">
        <v>1617</v>
      </c>
      <c r="B619" s="5" t="s">
        <v>697</v>
      </c>
      <c r="C619" s="2" t="s">
        <v>65</v>
      </c>
      <c r="D619" s="2" t="s">
        <v>66</v>
      </c>
      <c r="E619" s="2" t="s">
        <v>85</v>
      </c>
      <c r="F619" s="2" t="s">
        <v>26</v>
      </c>
      <c r="G619" s="2">
        <v>2</v>
      </c>
      <c r="H619" s="6">
        <v>99.99</v>
      </c>
      <c r="I619" s="4">
        <f t="shared" si="9"/>
        <v>199.98</v>
      </c>
      <c r="J619" s="2" t="s">
        <v>27</v>
      </c>
      <c r="K619" s="2" t="s">
        <v>28</v>
      </c>
      <c r="L619" s="2" t="s">
        <v>35</v>
      </c>
      <c r="M619" s="11" t="s">
        <v>697</v>
      </c>
    </row>
    <row r="620" spans="1:13" x14ac:dyDescent="0.25">
      <c r="A620" s="10">
        <v>1618</v>
      </c>
      <c r="B620" s="5" t="s">
        <v>697</v>
      </c>
      <c r="C620" s="2" t="s">
        <v>77</v>
      </c>
      <c r="D620" s="2" t="s">
        <v>114</v>
      </c>
      <c r="E620" s="2" t="s">
        <v>127</v>
      </c>
      <c r="F620" s="2" t="s">
        <v>73</v>
      </c>
      <c r="G620" s="4" t="s">
        <v>697</v>
      </c>
      <c r="H620" s="6">
        <v>29.99</v>
      </c>
      <c r="I620" s="4" t="str">
        <f t="shared" si="9"/>
        <v>N/A</v>
      </c>
      <c r="J620" s="2" t="s">
        <v>33</v>
      </c>
      <c r="K620" s="2" t="s">
        <v>34</v>
      </c>
      <c r="L620" s="2" t="s">
        <v>40</v>
      </c>
      <c r="M620" s="11" t="s">
        <v>697</v>
      </c>
    </row>
    <row r="621" spans="1:13" x14ac:dyDescent="0.25">
      <c r="A621" s="10">
        <v>1619</v>
      </c>
      <c r="B621" s="5" t="s">
        <v>697</v>
      </c>
      <c r="C621" s="2" t="s">
        <v>37</v>
      </c>
      <c r="D621" s="4" t="s">
        <v>697</v>
      </c>
      <c r="E621" s="2" t="s">
        <v>127</v>
      </c>
      <c r="F621" s="2" t="s">
        <v>73</v>
      </c>
      <c r="G621" s="2">
        <v>2</v>
      </c>
      <c r="H621" s="6">
        <v>29.99</v>
      </c>
      <c r="I621" s="4">
        <f t="shared" si="9"/>
        <v>59.98</v>
      </c>
      <c r="J621" s="2" t="s">
        <v>33</v>
      </c>
      <c r="K621" s="2" t="s">
        <v>45</v>
      </c>
      <c r="L621" s="2" t="s">
        <v>35</v>
      </c>
      <c r="M621" s="11" t="s">
        <v>697</v>
      </c>
    </row>
    <row r="622" spans="1:13" x14ac:dyDescent="0.25">
      <c r="A622" s="10">
        <v>1620</v>
      </c>
      <c r="B622" s="5" t="s">
        <v>697</v>
      </c>
      <c r="C622" s="2" t="s">
        <v>23</v>
      </c>
      <c r="D622" s="2" t="s">
        <v>81</v>
      </c>
      <c r="E622" s="2" t="s">
        <v>31</v>
      </c>
      <c r="F622" s="2" t="s">
        <v>32</v>
      </c>
      <c r="G622" s="2">
        <v>5</v>
      </c>
      <c r="H622" s="6">
        <v>79.989999999999995</v>
      </c>
      <c r="I622" s="4">
        <f t="shared" si="9"/>
        <v>399.95</v>
      </c>
      <c r="J622" s="2" t="s">
        <v>33</v>
      </c>
      <c r="K622" s="2" t="s">
        <v>34</v>
      </c>
      <c r="L622" s="2" t="s">
        <v>35</v>
      </c>
      <c r="M622" s="11" t="s">
        <v>697</v>
      </c>
    </row>
    <row r="623" spans="1:13" x14ac:dyDescent="0.25">
      <c r="A623" s="10">
        <v>1621</v>
      </c>
      <c r="B623" s="5" t="s">
        <v>697</v>
      </c>
      <c r="C623" s="2" t="s">
        <v>65</v>
      </c>
      <c r="D623" s="2" t="s">
        <v>123</v>
      </c>
      <c r="E623" s="2" t="s">
        <v>31</v>
      </c>
      <c r="F623" s="2" t="s">
        <v>32</v>
      </c>
      <c r="G623" s="2">
        <v>3</v>
      </c>
      <c r="H623" s="6">
        <v>79.989999999999995</v>
      </c>
      <c r="I623" s="4">
        <f t="shared" si="9"/>
        <v>239.96999999999997</v>
      </c>
      <c r="J623" s="2" t="s">
        <v>54</v>
      </c>
      <c r="K623" s="2" t="s">
        <v>45</v>
      </c>
      <c r="L623" s="2" t="s">
        <v>29</v>
      </c>
      <c r="M623" s="11" t="s">
        <v>697</v>
      </c>
    </row>
    <row r="624" spans="1:13" x14ac:dyDescent="0.25">
      <c r="A624" s="10">
        <v>1622</v>
      </c>
      <c r="B624" s="5" t="s">
        <v>697</v>
      </c>
      <c r="C624" s="2" t="s">
        <v>23</v>
      </c>
      <c r="D624" s="2" t="s">
        <v>124</v>
      </c>
      <c r="E624" s="2" t="s">
        <v>31</v>
      </c>
      <c r="F624" s="2" t="s">
        <v>32</v>
      </c>
      <c r="G624" s="2">
        <v>4</v>
      </c>
      <c r="H624" s="6">
        <v>79.989999999999995</v>
      </c>
      <c r="I624" s="4">
        <f t="shared" si="9"/>
        <v>319.95999999999998</v>
      </c>
      <c r="J624" s="2" t="s">
        <v>33</v>
      </c>
      <c r="K624" s="2" t="s">
        <v>28</v>
      </c>
      <c r="L624" s="2" t="s">
        <v>35</v>
      </c>
      <c r="M624" s="11" t="s">
        <v>697</v>
      </c>
    </row>
    <row r="625" spans="1:13" x14ac:dyDescent="0.25">
      <c r="A625" s="10">
        <v>1623</v>
      </c>
      <c r="B625" s="3">
        <v>45395</v>
      </c>
      <c r="C625" s="2" t="s">
        <v>77</v>
      </c>
      <c r="D625" s="2" t="s">
        <v>78</v>
      </c>
      <c r="E625" s="2" t="s">
        <v>85</v>
      </c>
      <c r="F625" s="2" t="s">
        <v>26</v>
      </c>
      <c r="G625" s="4" t="s">
        <v>697</v>
      </c>
      <c r="H625" s="6">
        <v>99.99</v>
      </c>
      <c r="I625" s="4" t="str">
        <f t="shared" si="9"/>
        <v>N/A</v>
      </c>
      <c r="J625" s="2" t="s">
        <v>33</v>
      </c>
      <c r="K625" s="2" t="s">
        <v>34</v>
      </c>
      <c r="L625" s="2" t="s">
        <v>29</v>
      </c>
      <c r="M625" s="11" t="s">
        <v>697</v>
      </c>
    </row>
    <row r="626" spans="1:13" x14ac:dyDescent="0.25">
      <c r="A626" s="10">
        <v>1624</v>
      </c>
      <c r="B626" s="5" t="s">
        <v>697</v>
      </c>
      <c r="C626" s="2" t="s">
        <v>77</v>
      </c>
      <c r="D626" s="2" t="s">
        <v>91</v>
      </c>
      <c r="E626" s="2" t="s">
        <v>127</v>
      </c>
      <c r="F626" s="2" t="s">
        <v>73</v>
      </c>
      <c r="G626" s="4" t="s">
        <v>697</v>
      </c>
      <c r="H626" s="6">
        <v>29.99</v>
      </c>
      <c r="I626" s="4" t="str">
        <f t="shared" si="9"/>
        <v>N/A</v>
      </c>
      <c r="J626" s="2" t="s">
        <v>33</v>
      </c>
      <c r="K626" s="2" t="s">
        <v>129</v>
      </c>
      <c r="L626" s="2" t="s">
        <v>29</v>
      </c>
      <c r="M626" s="11" t="s">
        <v>697</v>
      </c>
    </row>
    <row r="627" spans="1:13" x14ac:dyDescent="0.25">
      <c r="A627" s="10">
        <v>1625</v>
      </c>
      <c r="B627" s="3">
        <v>45297</v>
      </c>
      <c r="C627" s="2" t="s">
        <v>65</v>
      </c>
      <c r="D627" s="2" t="s">
        <v>123</v>
      </c>
      <c r="E627" s="2" t="s">
        <v>127</v>
      </c>
      <c r="F627" s="2" t="s">
        <v>73</v>
      </c>
      <c r="G627" s="2">
        <v>5</v>
      </c>
      <c r="H627" s="6">
        <v>29.99</v>
      </c>
      <c r="I627" s="4">
        <f t="shared" si="9"/>
        <v>149.94999999999999</v>
      </c>
      <c r="J627" s="2" t="s">
        <v>27</v>
      </c>
      <c r="K627" s="2" t="s">
        <v>34</v>
      </c>
      <c r="L627" s="2" t="s">
        <v>35</v>
      </c>
      <c r="M627" s="11" t="s">
        <v>697</v>
      </c>
    </row>
    <row r="628" spans="1:13" x14ac:dyDescent="0.25">
      <c r="A628" s="10">
        <v>1626</v>
      </c>
      <c r="B628" s="3">
        <v>45409</v>
      </c>
      <c r="C628" s="2" t="s">
        <v>42</v>
      </c>
      <c r="D628" s="2" t="s">
        <v>116</v>
      </c>
      <c r="E628" s="2" t="s">
        <v>52</v>
      </c>
      <c r="F628" s="2" t="s">
        <v>53</v>
      </c>
      <c r="G628" s="2">
        <v>1</v>
      </c>
      <c r="H628" s="6">
        <v>59.99</v>
      </c>
      <c r="I628" s="4">
        <f t="shared" si="9"/>
        <v>59.99</v>
      </c>
      <c r="J628" s="2" t="s">
        <v>33</v>
      </c>
      <c r="K628" s="2" t="s">
        <v>45</v>
      </c>
      <c r="L628" s="2" t="s">
        <v>35</v>
      </c>
      <c r="M628" s="11" t="s">
        <v>697</v>
      </c>
    </row>
    <row r="629" spans="1:13" x14ac:dyDescent="0.25">
      <c r="A629" s="10">
        <v>1627</v>
      </c>
      <c r="B629" s="3">
        <v>45193</v>
      </c>
      <c r="C629" s="2" t="s">
        <v>697</v>
      </c>
      <c r="D629" s="2" t="s">
        <v>15</v>
      </c>
      <c r="E629" s="2" t="s">
        <v>85</v>
      </c>
      <c r="F629" s="2" t="s">
        <v>26</v>
      </c>
      <c r="G629" s="2">
        <v>1</v>
      </c>
      <c r="H629" s="6">
        <v>99.99</v>
      </c>
      <c r="I629" s="4">
        <f t="shared" si="9"/>
        <v>99.99</v>
      </c>
      <c r="J629" s="2" t="s">
        <v>54</v>
      </c>
      <c r="K629" s="2" t="s">
        <v>129</v>
      </c>
      <c r="L629" s="2" t="s">
        <v>29</v>
      </c>
      <c r="M629" s="12" t="s">
        <v>63</v>
      </c>
    </row>
    <row r="630" spans="1:13" x14ac:dyDescent="0.25">
      <c r="A630" s="10">
        <v>1628</v>
      </c>
      <c r="B630" s="5" t="s">
        <v>697</v>
      </c>
      <c r="C630" s="2" t="s">
        <v>77</v>
      </c>
      <c r="D630" s="2" t="s">
        <v>78</v>
      </c>
      <c r="E630" s="2" t="s">
        <v>127</v>
      </c>
      <c r="F630" s="2" t="s">
        <v>73</v>
      </c>
      <c r="G630" s="2">
        <v>1</v>
      </c>
      <c r="H630" s="6">
        <v>29.99</v>
      </c>
      <c r="I630" s="4">
        <f t="shared" si="9"/>
        <v>29.99</v>
      </c>
      <c r="J630" s="2" t="s">
        <v>54</v>
      </c>
      <c r="K630" s="2" t="s">
        <v>45</v>
      </c>
      <c r="L630" s="2" t="s">
        <v>35</v>
      </c>
      <c r="M630" s="11" t="s">
        <v>697</v>
      </c>
    </row>
    <row r="631" spans="1:13" x14ac:dyDescent="0.25">
      <c r="A631" s="10">
        <v>1629</v>
      </c>
      <c r="B631" s="3">
        <v>45344</v>
      </c>
      <c r="C631" s="2" t="s">
        <v>37</v>
      </c>
      <c r="D631" s="2" t="s">
        <v>38</v>
      </c>
      <c r="E631" s="2" t="s">
        <v>85</v>
      </c>
      <c r="F631" s="2" t="s">
        <v>26</v>
      </c>
      <c r="G631" s="2">
        <v>5</v>
      </c>
      <c r="H631" s="6">
        <v>99.99</v>
      </c>
      <c r="I631" s="4">
        <f t="shared" si="9"/>
        <v>499.95</v>
      </c>
      <c r="J631" s="2" t="s">
        <v>19</v>
      </c>
      <c r="K631" s="2" t="s">
        <v>28</v>
      </c>
      <c r="L631" s="2" t="s">
        <v>35</v>
      </c>
      <c r="M631" s="12" t="s">
        <v>63</v>
      </c>
    </row>
    <row r="632" spans="1:13" x14ac:dyDescent="0.25">
      <c r="A632" s="10">
        <v>1630</v>
      </c>
      <c r="B632" s="5" t="s">
        <v>697</v>
      </c>
      <c r="C632" s="2" t="s">
        <v>42</v>
      </c>
      <c r="D632" s="2" t="s">
        <v>43</v>
      </c>
      <c r="E632" s="2" t="s">
        <v>39</v>
      </c>
      <c r="F632" s="2" t="s">
        <v>17</v>
      </c>
      <c r="G632" s="2">
        <v>2</v>
      </c>
      <c r="H632" s="6">
        <v>39.99</v>
      </c>
      <c r="I632" s="4">
        <f t="shared" si="9"/>
        <v>79.98</v>
      </c>
      <c r="J632" s="2" t="s">
        <v>33</v>
      </c>
      <c r="K632" s="2" t="s">
        <v>28</v>
      </c>
      <c r="L632" s="2" t="s">
        <v>40</v>
      </c>
      <c r="M632" s="11" t="s">
        <v>697</v>
      </c>
    </row>
    <row r="633" spans="1:13" x14ac:dyDescent="0.25">
      <c r="A633" s="10">
        <v>1631</v>
      </c>
      <c r="B633" s="3">
        <v>45029</v>
      </c>
      <c r="C633" s="2" t="s">
        <v>23</v>
      </c>
      <c r="D633" s="4" t="s">
        <v>697</v>
      </c>
      <c r="E633" s="2" t="s">
        <v>82</v>
      </c>
      <c r="F633" s="2" t="s">
        <v>60</v>
      </c>
      <c r="G633" s="2">
        <v>1</v>
      </c>
      <c r="H633" s="6">
        <v>4.99</v>
      </c>
      <c r="I633" s="4">
        <f t="shared" si="9"/>
        <v>4.99</v>
      </c>
      <c r="J633" s="2" t="s">
        <v>19</v>
      </c>
      <c r="K633" s="2" t="s">
        <v>34</v>
      </c>
      <c r="L633" s="2" t="s">
        <v>35</v>
      </c>
      <c r="M633" s="11" t="s">
        <v>697</v>
      </c>
    </row>
    <row r="634" spans="1:13" x14ac:dyDescent="0.25">
      <c r="A634" s="10">
        <v>1632</v>
      </c>
      <c r="B634" s="5" t="s">
        <v>697</v>
      </c>
      <c r="C634" s="2" t="s">
        <v>697</v>
      </c>
      <c r="D634" s="2" t="s">
        <v>75</v>
      </c>
      <c r="E634" s="2" t="s">
        <v>85</v>
      </c>
      <c r="F634" s="2" t="s">
        <v>26</v>
      </c>
      <c r="G634" s="4" t="s">
        <v>697</v>
      </c>
      <c r="H634" s="6">
        <v>99.99</v>
      </c>
      <c r="I634" s="4" t="str">
        <f t="shared" si="9"/>
        <v>N/A</v>
      </c>
      <c r="J634" s="2" t="s">
        <v>27</v>
      </c>
      <c r="K634" s="2" t="s">
        <v>45</v>
      </c>
      <c r="L634" s="2" t="s">
        <v>35</v>
      </c>
      <c r="M634" s="11" t="s">
        <v>697</v>
      </c>
    </row>
    <row r="635" spans="1:13" x14ac:dyDescent="0.25">
      <c r="A635" s="10">
        <v>1633</v>
      </c>
      <c r="B635" s="3">
        <v>45066</v>
      </c>
      <c r="C635" s="2" t="s">
        <v>23</v>
      </c>
      <c r="D635" s="2" t="s">
        <v>24</v>
      </c>
      <c r="E635" s="2" t="s">
        <v>127</v>
      </c>
      <c r="F635" s="2" t="s">
        <v>73</v>
      </c>
      <c r="G635" s="4" t="s">
        <v>697</v>
      </c>
      <c r="H635" s="6">
        <v>29.99</v>
      </c>
      <c r="I635" s="4" t="str">
        <f t="shared" si="9"/>
        <v>N/A</v>
      </c>
      <c r="J635" s="2" t="s">
        <v>27</v>
      </c>
      <c r="K635" s="2" t="s">
        <v>45</v>
      </c>
      <c r="L635" s="2" t="s">
        <v>35</v>
      </c>
      <c r="M635" s="11" t="s">
        <v>697</v>
      </c>
    </row>
    <row r="636" spans="1:13" x14ac:dyDescent="0.25">
      <c r="A636" s="10">
        <v>1634</v>
      </c>
      <c r="B636" s="5" t="s">
        <v>697</v>
      </c>
      <c r="C636" s="2" t="s">
        <v>23</v>
      </c>
      <c r="D636" s="2" t="s">
        <v>24</v>
      </c>
      <c r="E636" s="2" t="s">
        <v>127</v>
      </c>
      <c r="F636" s="2" t="s">
        <v>73</v>
      </c>
      <c r="G636" s="2">
        <v>5</v>
      </c>
      <c r="H636" s="6">
        <v>29.99</v>
      </c>
      <c r="I636" s="4">
        <f t="shared" si="9"/>
        <v>149.94999999999999</v>
      </c>
      <c r="J636" s="2" t="s">
        <v>33</v>
      </c>
      <c r="K636" s="2" t="s">
        <v>28</v>
      </c>
      <c r="L636" s="2" t="s">
        <v>35</v>
      </c>
      <c r="M636" s="11" t="s">
        <v>697</v>
      </c>
    </row>
    <row r="637" spans="1:13" x14ac:dyDescent="0.25">
      <c r="A637" s="10">
        <v>1635</v>
      </c>
      <c r="B637" s="3">
        <v>45091</v>
      </c>
      <c r="C637" s="2" t="s">
        <v>42</v>
      </c>
      <c r="D637" s="2" t="s">
        <v>43</v>
      </c>
      <c r="E637" s="2" t="s">
        <v>82</v>
      </c>
      <c r="F637" s="2" t="s">
        <v>60</v>
      </c>
      <c r="G637" s="2">
        <v>1</v>
      </c>
      <c r="H637" s="6">
        <v>4.99</v>
      </c>
      <c r="I637" s="4">
        <f t="shared" si="9"/>
        <v>4.99</v>
      </c>
      <c r="J637" s="2" t="s">
        <v>54</v>
      </c>
      <c r="K637" s="2" t="s">
        <v>129</v>
      </c>
      <c r="L637" s="2" t="s">
        <v>35</v>
      </c>
      <c r="M637" s="11" t="s">
        <v>697</v>
      </c>
    </row>
    <row r="638" spans="1:13" x14ac:dyDescent="0.25">
      <c r="A638" s="10">
        <v>1636</v>
      </c>
      <c r="B638" s="3">
        <v>45326</v>
      </c>
      <c r="C638" s="2" t="s">
        <v>23</v>
      </c>
      <c r="D638" s="2" t="s">
        <v>24</v>
      </c>
      <c r="E638" s="2" t="s">
        <v>72</v>
      </c>
      <c r="F638" s="2" t="s">
        <v>73</v>
      </c>
      <c r="G638" s="2">
        <v>5</v>
      </c>
      <c r="H638" s="6">
        <v>49.99</v>
      </c>
      <c r="I638" s="4">
        <f t="shared" si="9"/>
        <v>249.95000000000002</v>
      </c>
      <c r="J638" s="2" t="s">
        <v>33</v>
      </c>
      <c r="K638" s="2" t="s">
        <v>28</v>
      </c>
      <c r="L638" s="2" t="s">
        <v>29</v>
      </c>
      <c r="M638" s="11" t="s">
        <v>697</v>
      </c>
    </row>
    <row r="639" spans="1:13" x14ac:dyDescent="0.25">
      <c r="A639" s="10">
        <v>1637</v>
      </c>
      <c r="B639" s="3">
        <v>45222</v>
      </c>
      <c r="C639" s="2" t="s">
        <v>23</v>
      </c>
      <c r="D639" s="2" t="s">
        <v>81</v>
      </c>
      <c r="E639" s="2" t="s">
        <v>127</v>
      </c>
      <c r="F639" s="2" t="s">
        <v>73</v>
      </c>
      <c r="G639" s="2">
        <v>1</v>
      </c>
      <c r="H639" s="6">
        <v>29.99</v>
      </c>
      <c r="I639" s="4">
        <f t="shared" si="9"/>
        <v>29.99</v>
      </c>
      <c r="J639" s="2" t="s">
        <v>33</v>
      </c>
      <c r="K639" s="2" t="s">
        <v>34</v>
      </c>
      <c r="L639" s="2" t="s">
        <v>35</v>
      </c>
      <c r="M639" s="11" t="s">
        <v>697</v>
      </c>
    </row>
    <row r="640" spans="1:13" x14ac:dyDescent="0.25">
      <c r="A640" s="10">
        <v>1638</v>
      </c>
      <c r="B640" s="3">
        <v>45414</v>
      </c>
      <c r="C640" s="2" t="s">
        <v>37</v>
      </c>
      <c r="D640" s="2" t="s">
        <v>38</v>
      </c>
      <c r="E640" s="2" t="s">
        <v>72</v>
      </c>
      <c r="F640" s="2" t="s">
        <v>73</v>
      </c>
      <c r="G640" s="2">
        <v>4</v>
      </c>
      <c r="H640" s="6">
        <v>49.99</v>
      </c>
      <c r="I640" s="4">
        <f t="shared" si="9"/>
        <v>199.96</v>
      </c>
      <c r="J640" s="2" t="s">
        <v>33</v>
      </c>
      <c r="K640" s="2" t="s">
        <v>28</v>
      </c>
      <c r="L640" s="2" t="s">
        <v>35</v>
      </c>
      <c r="M640" s="11" t="s">
        <v>697</v>
      </c>
    </row>
    <row r="641" spans="1:13" x14ac:dyDescent="0.25">
      <c r="A641" s="10">
        <v>1639</v>
      </c>
      <c r="B641" s="3">
        <v>45114</v>
      </c>
      <c r="C641" s="2" t="s">
        <v>23</v>
      </c>
      <c r="D641" s="2" t="s">
        <v>24</v>
      </c>
      <c r="E641" s="2" t="s">
        <v>92</v>
      </c>
      <c r="F641" s="2" t="s">
        <v>26</v>
      </c>
      <c r="G641" s="2">
        <v>5</v>
      </c>
      <c r="H641" s="6">
        <v>14.99</v>
      </c>
      <c r="I641" s="4">
        <f t="shared" si="9"/>
        <v>74.95</v>
      </c>
      <c r="J641" s="2" t="s">
        <v>33</v>
      </c>
      <c r="K641" s="2" t="s">
        <v>45</v>
      </c>
      <c r="L641" s="2" t="s">
        <v>35</v>
      </c>
      <c r="M641" s="11" t="s">
        <v>697</v>
      </c>
    </row>
    <row r="642" spans="1:13" x14ac:dyDescent="0.25">
      <c r="A642" s="10">
        <v>1640</v>
      </c>
      <c r="B642" s="3">
        <v>45349</v>
      </c>
      <c r="C642" s="2" t="s">
        <v>42</v>
      </c>
      <c r="D642" s="2" t="s">
        <v>43</v>
      </c>
      <c r="E642" s="2" t="s">
        <v>31</v>
      </c>
      <c r="F642" s="2" t="s">
        <v>32</v>
      </c>
      <c r="G642" s="2">
        <v>1</v>
      </c>
      <c r="H642" s="6">
        <v>79.989999999999995</v>
      </c>
      <c r="I642" s="4">
        <f t="shared" si="9"/>
        <v>79.989999999999995</v>
      </c>
      <c r="J642" s="2" t="s">
        <v>33</v>
      </c>
      <c r="K642" s="2" t="s">
        <v>28</v>
      </c>
      <c r="L642" s="2" t="s">
        <v>40</v>
      </c>
      <c r="M642" s="11" t="s">
        <v>697</v>
      </c>
    </row>
    <row r="643" spans="1:13" x14ac:dyDescent="0.25">
      <c r="A643" s="10">
        <v>1641</v>
      </c>
      <c r="B643" s="3">
        <v>45188</v>
      </c>
      <c r="C643" s="2" t="s">
        <v>65</v>
      </c>
      <c r="D643" s="2" t="s">
        <v>123</v>
      </c>
      <c r="E643" s="2" t="s">
        <v>92</v>
      </c>
      <c r="F643" s="2" t="s">
        <v>26</v>
      </c>
      <c r="G643" s="2">
        <v>1</v>
      </c>
      <c r="H643" s="6">
        <v>14.99</v>
      </c>
      <c r="I643" s="4">
        <f t="shared" ref="I643:I706" si="10">IF(G643="N/A","N/A",PRODUCT(G643,H643))</f>
        <v>14.99</v>
      </c>
      <c r="J643" s="2" t="s">
        <v>33</v>
      </c>
      <c r="K643" s="2" t="s">
        <v>45</v>
      </c>
      <c r="L643" s="2" t="s">
        <v>35</v>
      </c>
      <c r="M643" s="12" t="s">
        <v>63</v>
      </c>
    </row>
    <row r="644" spans="1:13" x14ac:dyDescent="0.25">
      <c r="A644" s="10">
        <v>1642</v>
      </c>
      <c r="B644" s="3">
        <v>45330</v>
      </c>
      <c r="C644" s="2" t="s">
        <v>42</v>
      </c>
      <c r="D644" s="2" t="s">
        <v>43</v>
      </c>
      <c r="E644" s="2" t="s">
        <v>52</v>
      </c>
      <c r="F644" s="2" t="s">
        <v>53</v>
      </c>
      <c r="G644" s="2">
        <v>4</v>
      </c>
      <c r="H644" s="6">
        <v>59.99</v>
      </c>
      <c r="I644" s="4">
        <f t="shared" si="10"/>
        <v>239.96</v>
      </c>
      <c r="J644" s="2" t="s">
        <v>33</v>
      </c>
      <c r="K644" s="2" t="s">
        <v>28</v>
      </c>
      <c r="L644" s="2" t="s">
        <v>29</v>
      </c>
      <c r="M644" s="11" t="s">
        <v>697</v>
      </c>
    </row>
    <row r="645" spans="1:13" x14ac:dyDescent="0.25">
      <c r="A645" s="10">
        <v>1643</v>
      </c>
      <c r="B645" s="3">
        <v>45069</v>
      </c>
      <c r="C645" s="2" t="s">
        <v>697</v>
      </c>
      <c r="D645" s="2" t="s">
        <v>162</v>
      </c>
      <c r="E645" s="2" t="s">
        <v>31</v>
      </c>
      <c r="F645" s="2" t="s">
        <v>32</v>
      </c>
      <c r="G645" s="2">
        <v>1</v>
      </c>
      <c r="H645" s="6">
        <v>79.989999999999995</v>
      </c>
      <c r="I645" s="4">
        <f t="shared" si="10"/>
        <v>79.989999999999995</v>
      </c>
      <c r="J645" s="2" t="s">
        <v>54</v>
      </c>
      <c r="K645" s="2" t="s">
        <v>28</v>
      </c>
      <c r="L645" s="2" t="s">
        <v>35</v>
      </c>
      <c r="M645" s="11" t="s">
        <v>697</v>
      </c>
    </row>
    <row r="646" spans="1:13" x14ac:dyDescent="0.25">
      <c r="A646" s="10">
        <v>1644</v>
      </c>
      <c r="B646" s="5" t="s">
        <v>697</v>
      </c>
      <c r="C646" s="2" t="s">
        <v>70</v>
      </c>
      <c r="D646" s="2" t="s">
        <v>131</v>
      </c>
      <c r="E646" s="2" t="s">
        <v>92</v>
      </c>
      <c r="F646" s="2" t="s">
        <v>26</v>
      </c>
      <c r="G646" s="2">
        <v>1</v>
      </c>
      <c r="H646" s="6">
        <v>14.99</v>
      </c>
      <c r="I646" s="4">
        <f t="shared" si="10"/>
        <v>14.99</v>
      </c>
      <c r="J646" s="2" t="s">
        <v>27</v>
      </c>
      <c r="K646" s="2" t="s">
        <v>45</v>
      </c>
      <c r="L646" s="2" t="s">
        <v>40</v>
      </c>
      <c r="M646" s="11" t="s">
        <v>697</v>
      </c>
    </row>
    <row r="647" spans="1:13" x14ac:dyDescent="0.25">
      <c r="A647" s="10">
        <v>1645</v>
      </c>
      <c r="B647" s="5" t="s">
        <v>697</v>
      </c>
      <c r="C647" s="2" t="s">
        <v>65</v>
      </c>
      <c r="D647" s="2" t="s">
        <v>126</v>
      </c>
      <c r="E647" s="2" t="s">
        <v>72</v>
      </c>
      <c r="F647" s="2" t="s">
        <v>73</v>
      </c>
      <c r="G647" s="2">
        <v>4</v>
      </c>
      <c r="H647" s="6">
        <v>49.99</v>
      </c>
      <c r="I647" s="4">
        <f t="shared" si="10"/>
        <v>199.96</v>
      </c>
      <c r="J647" s="2" t="s">
        <v>54</v>
      </c>
      <c r="K647" s="2" t="s">
        <v>45</v>
      </c>
      <c r="L647" s="2" t="s">
        <v>29</v>
      </c>
      <c r="M647" s="11" t="s">
        <v>697</v>
      </c>
    </row>
    <row r="648" spans="1:13" x14ac:dyDescent="0.25">
      <c r="A648" s="10">
        <v>1646</v>
      </c>
      <c r="B648" s="3">
        <v>44938</v>
      </c>
      <c r="C648" s="2" t="s">
        <v>65</v>
      </c>
      <c r="D648" s="2" t="s">
        <v>123</v>
      </c>
      <c r="E648" s="2" t="s">
        <v>127</v>
      </c>
      <c r="F648" s="2" t="s">
        <v>73</v>
      </c>
      <c r="G648" s="2">
        <v>3</v>
      </c>
      <c r="H648" s="6">
        <v>29.99</v>
      </c>
      <c r="I648" s="4">
        <f t="shared" si="10"/>
        <v>89.97</v>
      </c>
      <c r="J648" s="2" t="s">
        <v>33</v>
      </c>
      <c r="K648" s="2" t="s">
        <v>129</v>
      </c>
      <c r="L648" s="2" t="s">
        <v>35</v>
      </c>
      <c r="M648" s="11" t="s">
        <v>697</v>
      </c>
    </row>
    <row r="649" spans="1:13" x14ac:dyDescent="0.25">
      <c r="A649" s="10">
        <v>1647</v>
      </c>
      <c r="B649" s="5" t="s">
        <v>697</v>
      </c>
      <c r="C649" s="2" t="s">
        <v>42</v>
      </c>
      <c r="D649" s="2" t="s">
        <v>48</v>
      </c>
      <c r="E649" s="2" t="s">
        <v>127</v>
      </c>
      <c r="F649" s="2" t="s">
        <v>73</v>
      </c>
      <c r="G649" s="2">
        <v>1</v>
      </c>
      <c r="H649" s="6">
        <v>29.99</v>
      </c>
      <c r="I649" s="4">
        <f t="shared" si="10"/>
        <v>29.99</v>
      </c>
      <c r="J649" s="2" t="s">
        <v>33</v>
      </c>
      <c r="K649" s="2" t="s">
        <v>45</v>
      </c>
      <c r="L649" s="2" t="s">
        <v>40</v>
      </c>
      <c r="M649" s="11" t="s">
        <v>697</v>
      </c>
    </row>
    <row r="650" spans="1:13" x14ac:dyDescent="0.25">
      <c r="A650" s="10">
        <v>1648</v>
      </c>
      <c r="B650" s="3">
        <v>45006</v>
      </c>
      <c r="C650" s="2" t="s">
        <v>14</v>
      </c>
      <c r="D650" s="2" t="s">
        <v>84</v>
      </c>
      <c r="E650" s="2" t="s">
        <v>82</v>
      </c>
      <c r="F650" s="2" t="s">
        <v>60</v>
      </c>
      <c r="G650" s="2">
        <v>2</v>
      </c>
      <c r="H650" s="6">
        <v>4.99</v>
      </c>
      <c r="I650" s="4">
        <f t="shared" si="10"/>
        <v>9.98</v>
      </c>
      <c r="J650" s="2" t="s">
        <v>33</v>
      </c>
      <c r="K650" s="2" t="s">
        <v>28</v>
      </c>
      <c r="L650" s="2" t="s">
        <v>40</v>
      </c>
      <c r="M650" s="11" t="s">
        <v>697</v>
      </c>
    </row>
    <row r="651" spans="1:13" x14ac:dyDescent="0.25">
      <c r="A651" s="10">
        <v>1649</v>
      </c>
      <c r="B651" s="5" t="s">
        <v>697</v>
      </c>
      <c r="C651" s="2" t="s">
        <v>14</v>
      </c>
      <c r="D651" s="2" t="s">
        <v>15</v>
      </c>
      <c r="E651" s="2" t="s">
        <v>85</v>
      </c>
      <c r="F651" s="2" t="s">
        <v>26</v>
      </c>
      <c r="G651" s="2">
        <v>5</v>
      </c>
      <c r="H651" s="6">
        <v>99.99</v>
      </c>
      <c r="I651" s="4">
        <f t="shared" si="10"/>
        <v>499.95</v>
      </c>
      <c r="J651" s="2" t="s">
        <v>33</v>
      </c>
      <c r="K651" s="2" t="s">
        <v>45</v>
      </c>
      <c r="L651" s="2" t="s">
        <v>35</v>
      </c>
      <c r="M651" s="11" t="s">
        <v>697</v>
      </c>
    </row>
    <row r="652" spans="1:13" x14ac:dyDescent="0.25">
      <c r="A652" s="10">
        <v>1650</v>
      </c>
      <c r="B652" s="3">
        <v>45403</v>
      </c>
      <c r="C652" s="2" t="s">
        <v>77</v>
      </c>
      <c r="D652" s="2" t="s">
        <v>91</v>
      </c>
      <c r="E652" s="2" t="s">
        <v>39</v>
      </c>
      <c r="F652" s="2" t="s">
        <v>17</v>
      </c>
      <c r="G652" s="2">
        <v>4</v>
      </c>
      <c r="H652" s="6">
        <v>39.99</v>
      </c>
      <c r="I652" s="4">
        <f t="shared" si="10"/>
        <v>159.96</v>
      </c>
      <c r="J652" s="2" t="s">
        <v>27</v>
      </c>
      <c r="K652" s="2" t="s">
        <v>34</v>
      </c>
      <c r="L652" s="2" t="s">
        <v>35</v>
      </c>
      <c r="M652" s="11" t="s">
        <v>697</v>
      </c>
    </row>
    <row r="653" spans="1:13" x14ac:dyDescent="0.25">
      <c r="A653" s="10">
        <v>1651</v>
      </c>
      <c r="B653" s="5" t="s">
        <v>697</v>
      </c>
      <c r="C653" s="2" t="s">
        <v>697</v>
      </c>
      <c r="D653" s="2" t="s">
        <v>131</v>
      </c>
      <c r="E653" s="2" t="s">
        <v>44</v>
      </c>
      <c r="F653" s="2" t="s">
        <v>17</v>
      </c>
      <c r="G653" s="2">
        <v>1</v>
      </c>
      <c r="H653" s="6">
        <v>15.99</v>
      </c>
      <c r="I653" s="4">
        <f t="shared" si="10"/>
        <v>15.99</v>
      </c>
      <c r="J653" s="2" t="s">
        <v>19</v>
      </c>
      <c r="K653" s="2" t="s">
        <v>28</v>
      </c>
      <c r="L653" s="2" t="s">
        <v>29</v>
      </c>
      <c r="M653" s="11" t="s">
        <v>697</v>
      </c>
    </row>
    <row r="654" spans="1:13" x14ac:dyDescent="0.25">
      <c r="A654" s="10">
        <v>1652</v>
      </c>
      <c r="B654" s="5" t="s">
        <v>697</v>
      </c>
      <c r="C654" s="2" t="s">
        <v>14</v>
      </c>
      <c r="D654" s="2" t="s">
        <v>84</v>
      </c>
      <c r="E654" s="2" t="s">
        <v>31</v>
      </c>
      <c r="F654" s="2" t="s">
        <v>32</v>
      </c>
      <c r="G654" s="2">
        <v>4</v>
      </c>
      <c r="H654" s="6">
        <v>79.989999999999995</v>
      </c>
      <c r="I654" s="4">
        <f t="shared" si="10"/>
        <v>319.95999999999998</v>
      </c>
      <c r="J654" s="2" t="s">
        <v>19</v>
      </c>
      <c r="K654" s="2" t="s">
        <v>28</v>
      </c>
      <c r="L654" s="2" t="s">
        <v>35</v>
      </c>
      <c r="M654" s="11" t="s">
        <v>697</v>
      </c>
    </row>
    <row r="655" spans="1:13" x14ac:dyDescent="0.25">
      <c r="A655" s="10">
        <v>1653</v>
      </c>
      <c r="B655" s="3">
        <v>45326</v>
      </c>
      <c r="C655" s="2" t="s">
        <v>14</v>
      </c>
      <c r="D655" s="2" t="s">
        <v>84</v>
      </c>
      <c r="E655" s="2" t="s">
        <v>82</v>
      </c>
      <c r="F655" s="2" t="s">
        <v>60</v>
      </c>
      <c r="G655" s="2">
        <v>4</v>
      </c>
      <c r="H655" s="6">
        <v>4.99</v>
      </c>
      <c r="I655" s="4">
        <f t="shared" si="10"/>
        <v>19.96</v>
      </c>
      <c r="J655" s="2" t="s">
        <v>54</v>
      </c>
      <c r="K655" s="2" t="s">
        <v>28</v>
      </c>
      <c r="L655" s="2" t="s">
        <v>35</v>
      </c>
      <c r="M655" s="11" t="s">
        <v>697</v>
      </c>
    </row>
    <row r="656" spans="1:13" x14ac:dyDescent="0.25">
      <c r="A656" s="10">
        <v>1654</v>
      </c>
      <c r="B656" s="3">
        <v>45165</v>
      </c>
      <c r="C656" s="2" t="s">
        <v>42</v>
      </c>
      <c r="D656" s="2" t="s">
        <v>48</v>
      </c>
      <c r="E656" s="2" t="s">
        <v>52</v>
      </c>
      <c r="F656" s="2" t="s">
        <v>53</v>
      </c>
      <c r="G656" s="2">
        <v>1</v>
      </c>
      <c r="H656" s="6">
        <v>59.99</v>
      </c>
      <c r="I656" s="4">
        <f t="shared" si="10"/>
        <v>59.99</v>
      </c>
      <c r="J656" s="2" t="s">
        <v>33</v>
      </c>
      <c r="K656" s="2" t="s">
        <v>28</v>
      </c>
      <c r="L656" s="2" t="s">
        <v>40</v>
      </c>
      <c r="M656" s="12" t="s">
        <v>63</v>
      </c>
    </row>
    <row r="657" spans="1:13" x14ac:dyDescent="0.25">
      <c r="A657" s="10">
        <v>1655</v>
      </c>
      <c r="B657" s="5" t="s">
        <v>697</v>
      </c>
      <c r="C657" s="2" t="s">
        <v>14</v>
      </c>
      <c r="D657" s="2" t="s">
        <v>15</v>
      </c>
      <c r="E657" s="2" t="s">
        <v>82</v>
      </c>
      <c r="F657" s="2" t="s">
        <v>60</v>
      </c>
      <c r="G657" s="4" t="s">
        <v>697</v>
      </c>
      <c r="H657" s="6">
        <v>4.99</v>
      </c>
      <c r="I657" s="4" t="str">
        <f t="shared" si="10"/>
        <v>N/A</v>
      </c>
      <c r="J657" s="2" t="s">
        <v>54</v>
      </c>
      <c r="K657" s="2" t="s">
        <v>34</v>
      </c>
      <c r="L657" s="2" t="s">
        <v>40</v>
      </c>
      <c r="M657" s="11" t="s">
        <v>697</v>
      </c>
    </row>
    <row r="658" spans="1:13" x14ac:dyDescent="0.25">
      <c r="A658" s="10">
        <v>1656</v>
      </c>
      <c r="B658" s="3">
        <v>45174</v>
      </c>
      <c r="C658" s="2" t="s">
        <v>70</v>
      </c>
      <c r="D658" s="2" t="s">
        <v>88</v>
      </c>
      <c r="E658" s="2" t="s">
        <v>92</v>
      </c>
      <c r="F658" s="2" t="s">
        <v>26</v>
      </c>
      <c r="G658" s="2">
        <v>1</v>
      </c>
      <c r="H658" s="6">
        <v>14.99</v>
      </c>
      <c r="I658" s="4">
        <f t="shared" si="10"/>
        <v>14.99</v>
      </c>
      <c r="J658" s="2" t="s">
        <v>27</v>
      </c>
      <c r="K658" s="2" t="s">
        <v>45</v>
      </c>
      <c r="L658" s="2" t="s">
        <v>35</v>
      </c>
      <c r="M658" s="11" t="s">
        <v>697</v>
      </c>
    </row>
    <row r="659" spans="1:13" x14ac:dyDescent="0.25">
      <c r="A659" s="10">
        <v>1657</v>
      </c>
      <c r="B659" s="3">
        <v>44947</v>
      </c>
      <c r="C659" s="2" t="s">
        <v>37</v>
      </c>
      <c r="D659" s="2" t="s">
        <v>169</v>
      </c>
      <c r="E659" s="2" t="s">
        <v>31</v>
      </c>
      <c r="F659" s="2" t="s">
        <v>32</v>
      </c>
      <c r="G659" s="2">
        <v>2</v>
      </c>
      <c r="H659" s="6">
        <v>79.989999999999995</v>
      </c>
      <c r="I659" s="4">
        <f t="shared" si="10"/>
        <v>159.97999999999999</v>
      </c>
      <c r="J659" s="2" t="s">
        <v>27</v>
      </c>
      <c r="K659" s="2" t="s">
        <v>55</v>
      </c>
      <c r="L659" s="2" t="s">
        <v>40</v>
      </c>
      <c r="M659" s="11" t="s">
        <v>697</v>
      </c>
    </row>
    <row r="660" spans="1:13" x14ac:dyDescent="0.25">
      <c r="A660" s="10">
        <v>1658</v>
      </c>
      <c r="B660" s="3">
        <v>45349</v>
      </c>
      <c r="C660" s="2" t="s">
        <v>77</v>
      </c>
      <c r="D660" s="2" t="s">
        <v>91</v>
      </c>
      <c r="E660" s="2" t="s">
        <v>85</v>
      </c>
      <c r="F660" s="2" t="s">
        <v>26</v>
      </c>
      <c r="G660" s="2">
        <v>5</v>
      </c>
      <c r="H660" s="6">
        <v>99.99</v>
      </c>
      <c r="I660" s="4">
        <f t="shared" si="10"/>
        <v>499.95</v>
      </c>
      <c r="J660" s="2" t="s">
        <v>54</v>
      </c>
      <c r="K660" s="2" t="s">
        <v>28</v>
      </c>
      <c r="L660" s="2" t="s">
        <v>35</v>
      </c>
      <c r="M660" s="12" t="s">
        <v>63</v>
      </c>
    </row>
    <row r="661" spans="1:13" x14ac:dyDescent="0.25">
      <c r="A661" s="10">
        <v>1659</v>
      </c>
      <c r="B661" s="5" t="s">
        <v>697</v>
      </c>
      <c r="C661" s="2" t="s">
        <v>14</v>
      </c>
      <c r="D661" s="2" t="s">
        <v>15</v>
      </c>
      <c r="E661" s="2" t="s">
        <v>31</v>
      </c>
      <c r="F661" s="2" t="s">
        <v>32</v>
      </c>
      <c r="G661" s="4" t="s">
        <v>697</v>
      </c>
      <c r="H661" s="6">
        <v>79.989999999999995</v>
      </c>
      <c r="I661" s="4" t="str">
        <f t="shared" si="10"/>
        <v>N/A</v>
      </c>
      <c r="J661" s="2" t="s">
        <v>33</v>
      </c>
      <c r="K661" s="2" t="s">
        <v>28</v>
      </c>
      <c r="L661" s="2" t="s">
        <v>35</v>
      </c>
      <c r="M661" s="11" t="s">
        <v>697</v>
      </c>
    </row>
    <row r="662" spans="1:13" x14ac:dyDescent="0.25">
      <c r="A662" s="10">
        <v>1660</v>
      </c>
      <c r="B662" s="3">
        <v>45186</v>
      </c>
      <c r="C662" s="2" t="s">
        <v>37</v>
      </c>
      <c r="D662" s="4" t="s">
        <v>697</v>
      </c>
      <c r="E662" s="2" t="s">
        <v>85</v>
      </c>
      <c r="F662" s="2" t="s">
        <v>26</v>
      </c>
      <c r="G662" s="2">
        <v>4</v>
      </c>
      <c r="H662" s="6">
        <v>99.99</v>
      </c>
      <c r="I662" s="4">
        <f t="shared" si="10"/>
        <v>399.96</v>
      </c>
      <c r="J662" s="2" t="s">
        <v>54</v>
      </c>
      <c r="K662" s="2" t="s">
        <v>55</v>
      </c>
      <c r="L662" s="2" t="s">
        <v>35</v>
      </c>
      <c r="M662" s="11" t="s">
        <v>697</v>
      </c>
    </row>
    <row r="663" spans="1:13" x14ac:dyDescent="0.25">
      <c r="A663" s="10">
        <v>1661</v>
      </c>
      <c r="B663" s="3">
        <v>45141</v>
      </c>
      <c r="C663" s="2" t="s">
        <v>77</v>
      </c>
      <c r="D663" s="2" t="s">
        <v>78</v>
      </c>
      <c r="E663" s="2" t="s">
        <v>39</v>
      </c>
      <c r="F663" s="2" t="s">
        <v>17</v>
      </c>
      <c r="G663" s="2">
        <v>5</v>
      </c>
      <c r="H663" s="6">
        <v>39.99</v>
      </c>
      <c r="I663" s="4">
        <f t="shared" si="10"/>
        <v>199.95000000000002</v>
      </c>
      <c r="J663" s="2" t="s">
        <v>33</v>
      </c>
      <c r="K663" s="2" t="s">
        <v>34</v>
      </c>
      <c r="L663" s="2" t="s">
        <v>29</v>
      </c>
      <c r="M663" s="11" t="s">
        <v>697</v>
      </c>
    </row>
    <row r="664" spans="1:13" x14ac:dyDescent="0.25">
      <c r="A664" s="10">
        <v>1662</v>
      </c>
      <c r="B664" s="5" t="s">
        <v>697</v>
      </c>
      <c r="C664" s="2" t="s">
        <v>42</v>
      </c>
      <c r="D664" s="2" t="s">
        <v>116</v>
      </c>
      <c r="E664" s="2" t="s">
        <v>31</v>
      </c>
      <c r="F664" s="2" t="s">
        <v>32</v>
      </c>
      <c r="G664" s="4" t="s">
        <v>697</v>
      </c>
      <c r="H664" s="6">
        <v>79.989999999999995</v>
      </c>
      <c r="I664" s="4" t="str">
        <f t="shared" si="10"/>
        <v>N/A</v>
      </c>
      <c r="J664" s="2" t="s">
        <v>54</v>
      </c>
      <c r="K664" s="2" t="s">
        <v>34</v>
      </c>
      <c r="L664" s="2" t="s">
        <v>40</v>
      </c>
      <c r="M664" s="11" t="s">
        <v>697</v>
      </c>
    </row>
    <row r="665" spans="1:13" x14ac:dyDescent="0.25">
      <c r="A665" s="10">
        <v>1663</v>
      </c>
      <c r="B665" s="3">
        <v>44999</v>
      </c>
      <c r="C665" s="2" t="s">
        <v>65</v>
      </c>
      <c r="D665" s="2" t="s">
        <v>123</v>
      </c>
      <c r="E665" s="2" t="s">
        <v>85</v>
      </c>
      <c r="F665" s="2" t="s">
        <v>26</v>
      </c>
      <c r="G665" s="2">
        <v>1</v>
      </c>
      <c r="H665" s="6">
        <v>99.99</v>
      </c>
      <c r="I665" s="4">
        <f t="shared" si="10"/>
        <v>99.99</v>
      </c>
      <c r="J665" s="2" t="s">
        <v>33</v>
      </c>
      <c r="K665" s="2" t="s">
        <v>34</v>
      </c>
      <c r="L665" s="2" t="s">
        <v>35</v>
      </c>
      <c r="M665" s="11" t="s">
        <v>697</v>
      </c>
    </row>
    <row r="666" spans="1:13" x14ac:dyDescent="0.25">
      <c r="A666" s="10">
        <v>1664</v>
      </c>
      <c r="B666" s="3">
        <v>45388</v>
      </c>
      <c r="C666" s="2" t="s">
        <v>65</v>
      </c>
      <c r="D666" s="2" t="s">
        <v>123</v>
      </c>
      <c r="E666" s="2" t="s">
        <v>92</v>
      </c>
      <c r="F666" s="2" t="s">
        <v>26</v>
      </c>
      <c r="G666" s="4" t="s">
        <v>697</v>
      </c>
      <c r="H666" s="6">
        <v>14.99</v>
      </c>
      <c r="I666" s="4" t="str">
        <f t="shared" si="10"/>
        <v>N/A</v>
      </c>
      <c r="J666" s="2" t="s">
        <v>19</v>
      </c>
      <c r="K666" s="2" t="s">
        <v>129</v>
      </c>
      <c r="L666" s="2" t="s">
        <v>29</v>
      </c>
      <c r="M666" s="11" t="s">
        <v>697</v>
      </c>
    </row>
    <row r="667" spans="1:13" x14ac:dyDescent="0.25">
      <c r="A667" s="10">
        <v>1665</v>
      </c>
      <c r="B667" s="3">
        <v>45138</v>
      </c>
      <c r="C667" s="2" t="s">
        <v>77</v>
      </c>
      <c r="D667" s="2" t="s">
        <v>78</v>
      </c>
      <c r="E667" s="2" t="s">
        <v>44</v>
      </c>
      <c r="F667" s="2" t="s">
        <v>17</v>
      </c>
      <c r="G667" s="2">
        <v>2</v>
      </c>
      <c r="H667" s="6">
        <v>15.99</v>
      </c>
      <c r="I667" s="4">
        <f t="shared" si="10"/>
        <v>31.98</v>
      </c>
      <c r="J667" s="2" t="s">
        <v>54</v>
      </c>
      <c r="K667" s="2" t="s">
        <v>45</v>
      </c>
      <c r="L667" s="2" t="s">
        <v>35</v>
      </c>
      <c r="M667" s="12" t="s">
        <v>63</v>
      </c>
    </row>
    <row r="668" spans="1:13" x14ac:dyDescent="0.25">
      <c r="A668" s="10">
        <v>1666</v>
      </c>
      <c r="B668" s="3">
        <v>44999</v>
      </c>
      <c r="C668" s="2" t="s">
        <v>23</v>
      </c>
      <c r="D668" s="2" t="s">
        <v>124</v>
      </c>
      <c r="E668" s="2" t="s">
        <v>44</v>
      </c>
      <c r="F668" s="2" t="s">
        <v>17</v>
      </c>
      <c r="G668" s="2">
        <v>2</v>
      </c>
      <c r="H668" s="6">
        <v>15.99</v>
      </c>
      <c r="I668" s="4">
        <f t="shared" si="10"/>
        <v>31.98</v>
      </c>
      <c r="J668" s="2" t="s">
        <v>33</v>
      </c>
      <c r="K668" s="2" t="s">
        <v>129</v>
      </c>
      <c r="L668" s="2" t="s">
        <v>35</v>
      </c>
      <c r="M668" s="11" t="s">
        <v>697</v>
      </c>
    </row>
    <row r="669" spans="1:13" x14ac:dyDescent="0.25">
      <c r="A669" s="10">
        <v>1667</v>
      </c>
      <c r="B669" s="5" t="s">
        <v>697</v>
      </c>
      <c r="C669" s="2" t="s">
        <v>23</v>
      </c>
      <c r="D669" s="2" t="s">
        <v>81</v>
      </c>
      <c r="E669" s="2" t="s">
        <v>72</v>
      </c>
      <c r="F669" s="2" t="s">
        <v>73</v>
      </c>
      <c r="G669" s="2">
        <v>3</v>
      </c>
      <c r="H669" s="6">
        <v>49.99</v>
      </c>
      <c r="I669" s="4">
        <f t="shared" si="10"/>
        <v>149.97</v>
      </c>
      <c r="J669" s="2" t="s">
        <v>33</v>
      </c>
      <c r="K669" s="2" t="s">
        <v>34</v>
      </c>
      <c r="L669" s="2" t="s">
        <v>29</v>
      </c>
      <c r="M669" s="11" t="s">
        <v>697</v>
      </c>
    </row>
    <row r="670" spans="1:13" x14ac:dyDescent="0.25">
      <c r="A670" s="10">
        <v>1668</v>
      </c>
      <c r="B670" s="3">
        <v>45416</v>
      </c>
      <c r="C670" s="2" t="s">
        <v>697</v>
      </c>
      <c r="D670" s="2" t="s">
        <v>169</v>
      </c>
      <c r="E670" s="2" t="s">
        <v>85</v>
      </c>
      <c r="F670" s="2" t="s">
        <v>26</v>
      </c>
      <c r="G670" s="4" t="s">
        <v>697</v>
      </c>
      <c r="H670" s="6">
        <v>99.99</v>
      </c>
      <c r="I670" s="4" t="str">
        <f t="shared" si="10"/>
        <v>N/A</v>
      </c>
      <c r="J670" s="2" t="s">
        <v>33</v>
      </c>
      <c r="K670" s="2" t="s">
        <v>45</v>
      </c>
      <c r="L670" s="2" t="s">
        <v>40</v>
      </c>
      <c r="M670" s="11" t="s">
        <v>697</v>
      </c>
    </row>
    <row r="671" spans="1:13" x14ac:dyDescent="0.25">
      <c r="A671" s="10">
        <v>1669</v>
      </c>
      <c r="B671" s="3">
        <v>45254</v>
      </c>
      <c r="C671" s="2" t="s">
        <v>23</v>
      </c>
      <c r="D671" s="2" t="s">
        <v>124</v>
      </c>
      <c r="E671" s="2" t="s">
        <v>52</v>
      </c>
      <c r="F671" s="2" t="s">
        <v>53</v>
      </c>
      <c r="G671" s="2">
        <v>1</v>
      </c>
      <c r="H671" s="6">
        <v>59.99</v>
      </c>
      <c r="I671" s="4">
        <f t="shared" si="10"/>
        <v>59.99</v>
      </c>
      <c r="J671" s="2" t="s">
        <v>19</v>
      </c>
      <c r="K671" s="2" t="s">
        <v>55</v>
      </c>
      <c r="L671" s="2" t="s">
        <v>35</v>
      </c>
      <c r="M671" s="11" t="s">
        <v>697</v>
      </c>
    </row>
    <row r="672" spans="1:13" x14ac:dyDescent="0.25">
      <c r="A672" s="10">
        <v>1670</v>
      </c>
      <c r="B672" s="3">
        <v>45187</v>
      </c>
      <c r="C672" s="2" t="s">
        <v>37</v>
      </c>
      <c r="D672" s="4" t="s">
        <v>697</v>
      </c>
      <c r="E672" s="2" t="s">
        <v>31</v>
      </c>
      <c r="F672" s="2" t="s">
        <v>32</v>
      </c>
      <c r="G672" s="4" t="s">
        <v>697</v>
      </c>
      <c r="H672" s="6">
        <v>79.989999999999995</v>
      </c>
      <c r="I672" s="4" t="str">
        <f t="shared" si="10"/>
        <v>N/A</v>
      </c>
      <c r="J672" s="2" t="s">
        <v>54</v>
      </c>
      <c r="K672" s="2" t="s">
        <v>129</v>
      </c>
      <c r="L672" s="2" t="s">
        <v>29</v>
      </c>
      <c r="M672" s="11" t="s">
        <v>697</v>
      </c>
    </row>
    <row r="673" spans="1:13" x14ac:dyDescent="0.25">
      <c r="A673" s="10">
        <v>1671</v>
      </c>
      <c r="B673" s="5" t="s">
        <v>697</v>
      </c>
      <c r="C673" s="2" t="s">
        <v>14</v>
      </c>
      <c r="D673" s="2" t="s">
        <v>84</v>
      </c>
      <c r="E673" s="2" t="s">
        <v>52</v>
      </c>
      <c r="F673" s="2" t="s">
        <v>53</v>
      </c>
      <c r="G673" s="4" t="s">
        <v>697</v>
      </c>
      <c r="H673" s="6">
        <v>59.99</v>
      </c>
      <c r="I673" s="4" t="str">
        <f t="shared" si="10"/>
        <v>N/A</v>
      </c>
      <c r="J673" s="2" t="s">
        <v>33</v>
      </c>
      <c r="K673" s="2" t="s">
        <v>45</v>
      </c>
      <c r="L673" s="2" t="s">
        <v>35</v>
      </c>
      <c r="M673" s="11" t="s">
        <v>697</v>
      </c>
    </row>
    <row r="674" spans="1:13" x14ac:dyDescent="0.25">
      <c r="A674" s="10">
        <v>1672</v>
      </c>
      <c r="B674" s="3">
        <v>45220</v>
      </c>
      <c r="C674" s="2" t="s">
        <v>42</v>
      </c>
      <c r="D674" s="2" t="s">
        <v>43</v>
      </c>
      <c r="E674" s="2" t="s">
        <v>72</v>
      </c>
      <c r="F674" s="2" t="s">
        <v>73</v>
      </c>
      <c r="G674" s="2">
        <v>2</v>
      </c>
      <c r="H674" s="6">
        <v>49.99</v>
      </c>
      <c r="I674" s="4">
        <f t="shared" si="10"/>
        <v>99.98</v>
      </c>
      <c r="J674" s="2" t="s">
        <v>27</v>
      </c>
      <c r="K674" s="2" t="s">
        <v>45</v>
      </c>
      <c r="L674" s="2" t="s">
        <v>35</v>
      </c>
      <c r="M674" s="11" t="s">
        <v>697</v>
      </c>
    </row>
    <row r="675" spans="1:13" x14ac:dyDescent="0.25">
      <c r="A675" s="10">
        <v>1673</v>
      </c>
      <c r="B675" s="3">
        <v>45195</v>
      </c>
      <c r="C675" s="2" t="s">
        <v>77</v>
      </c>
      <c r="D675" s="2" t="s">
        <v>114</v>
      </c>
      <c r="E675" s="2" t="s">
        <v>82</v>
      </c>
      <c r="F675" s="2" t="s">
        <v>60</v>
      </c>
      <c r="G675" s="2">
        <v>5</v>
      </c>
      <c r="H675" s="6">
        <v>4.99</v>
      </c>
      <c r="I675" s="4">
        <f t="shared" si="10"/>
        <v>24.950000000000003</v>
      </c>
      <c r="J675" s="2" t="s">
        <v>54</v>
      </c>
      <c r="K675" s="2" t="s">
        <v>28</v>
      </c>
      <c r="L675" s="2" t="s">
        <v>40</v>
      </c>
      <c r="M675" s="11" t="s">
        <v>697</v>
      </c>
    </row>
    <row r="676" spans="1:13" x14ac:dyDescent="0.25">
      <c r="A676" s="10">
        <v>1674</v>
      </c>
      <c r="B676" s="3">
        <v>45397</v>
      </c>
      <c r="C676" s="2" t="s">
        <v>70</v>
      </c>
      <c r="D676" s="2" t="s">
        <v>88</v>
      </c>
      <c r="E676" s="2" t="s">
        <v>39</v>
      </c>
      <c r="F676" s="2" t="s">
        <v>17</v>
      </c>
      <c r="G676" s="4" t="s">
        <v>697</v>
      </c>
      <c r="H676" s="6">
        <v>39.99</v>
      </c>
      <c r="I676" s="4" t="str">
        <f t="shared" si="10"/>
        <v>N/A</v>
      </c>
      <c r="J676" s="2" t="s">
        <v>33</v>
      </c>
      <c r="K676" s="2" t="s">
        <v>45</v>
      </c>
      <c r="L676" s="2" t="s">
        <v>35</v>
      </c>
      <c r="M676" s="11" t="s">
        <v>697</v>
      </c>
    </row>
    <row r="677" spans="1:13" x14ac:dyDescent="0.25">
      <c r="A677" s="10">
        <v>1675</v>
      </c>
      <c r="B677" s="5" t="s">
        <v>697</v>
      </c>
      <c r="C677" s="2" t="s">
        <v>14</v>
      </c>
      <c r="D677" s="2" t="s">
        <v>84</v>
      </c>
      <c r="E677" s="2" t="s">
        <v>39</v>
      </c>
      <c r="F677" s="2" t="s">
        <v>17</v>
      </c>
      <c r="G677" s="2">
        <v>3</v>
      </c>
      <c r="H677" s="6">
        <v>39.99</v>
      </c>
      <c r="I677" s="4">
        <f t="shared" si="10"/>
        <v>119.97</v>
      </c>
      <c r="J677" s="2" t="s">
        <v>19</v>
      </c>
      <c r="K677" s="2" t="s">
        <v>28</v>
      </c>
      <c r="L677" s="2" t="s">
        <v>29</v>
      </c>
      <c r="M677" s="11" t="s">
        <v>697</v>
      </c>
    </row>
    <row r="678" spans="1:13" x14ac:dyDescent="0.25">
      <c r="A678" s="10">
        <v>1676</v>
      </c>
      <c r="B678" s="3">
        <v>45203</v>
      </c>
      <c r="C678" s="2" t="s">
        <v>77</v>
      </c>
      <c r="D678" s="2" t="s">
        <v>91</v>
      </c>
      <c r="E678" s="2" t="s">
        <v>31</v>
      </c>
      <c r="F678" s="2" t="s">
        <v>32</v>
      </c>
      <c r="G678" s="2">
        <v>5</v>
      </c>
      <c r="H678" s="6">
        <v>79.989999999999995</v>
      </c>
      <c r="I678" s="4">
        <f t="shared" si="10"/>
        <v>399.95</v>
      </c>
      <c r="J678" s="2" t="s">
        <v>33</v>
      </c>
      <c r="K678" s="2" t="s">
        <v>34</v>
      </c>
      <c r="L678" s="2" t="s">
        <v>35</v>
      </c>
      <c r="M678" s="11" t="s">
        <v>697</v>
      </c>
    </row>
    <row r="679" spans="1:13" x14ac:dyDescent="0.25">
      <c r="A679" s="10">
        <v>1677</v>
      </c>
      <c r="B679" s="3">
        <v>45109</v>
      </c>
      <c r="C679" s="2" t="s">
        <v>70</v>
      </c>
      <c r="D679" s="2" t="s">
        <v>131</v>
      </c>
      <c r="E679" s="2" t="s">
        <v>52</v>
      </c>
      <c r="F679" s="2" t="s">
        <v>53</v>
      </c>
      <c r="G679" s="2">
        <v>4</v>
      </c>
      <c r="H679" s="6">
        <v>59.99</v>
      </c>
      <c r="I679" s="4">
        <f t="shared" si="10"/>
        <v>239.96</v>
      </c>
      <c r="J679" s="2" t="s">
        <v>33</v>
      </c>
      <c r="K679" s="2" t="s">
        <v>45</v>
      </c>
      <c r="L679" s="2" t="s">
        <v>35</v>
      </c>
      <c r="M679" s="11" t="s">
        <v>697</v>
      </c>
    </row>
    <row r="680" spans="1:13" x14ac:dyDescent="0.25">
      <c r="A680" s="10">
        <v>1678</v>
      </c>
      <c r="B680" s="3">
        <v>45044</v>
      </c>
      <c r="C680" s="2" t="s">
        <v>23</v>
      </c>
      <c r="D680" s="2" t="s">
        <v>24</v>
      </c>
      <c r="E680" s="2" t="s">
        <v>82</v>
      </c>
      <c r="F680" s="2" t="s">
        <v>60</v>
      </c>
      <c r="G680" s="4" t="s">
        <v>697</v>
      </c>
      <c r="H680" s="6">
        <v>4.99</v>
      </c>
      <c r="I680" s="4" t="str">
        <f t="shared" si="10"/>
        <v>N/A</v>
      </c>
      <c r="J680" s="2" t="s">
        <v>27</v>
      </c>
      <c r="K680" s="2" t="s">
        <v>129</v>
      </c>
      <c r="L680" s="2" t="s">
        <v>35</v>
      </c>
      <c r="M680" s="11" t="s">
        <v>697</v>
      </c>
    </row>
    <row r="681" spans="1:13" x14ac:dyDescent="0.25">
      <c r="A681" s="10">
        <v>1679</v>
      </c>
      <c r="B681" s="3">
        <v>45164</v>
      </c>
      <c r="C681" s="2" t="s">
        <v>65</v>
      </c>
      <c r="D681" s="2" t="s">
        <v>123</v>
      </c>
      <c r="E681" s="2" t="s">
        <v>39</v>
      </c>
      <c r="F681" s="2" t="s">
        <v>17</v>
      </c>
      <c r="G681" s="2">
        <v>2</v>
      </c>
      <c r="H681" s="6">
        <v>39.99</v>
      </c>
      <c r="I681" s="4">
        <f t="shared" si="10"/>
        <v>79.98</v>
      </c>
      <c r="J681" s="2" t="s">
        <v>54</v>
      </c>
      <c r="K681" s="2" t="s">
        <v>129</v>
      </c>
      <c r="L681" s="2" t="s">
        <v>35</v>
      </c>
      <c r="M681" s="11" t="s">
        <v>697</v>
      </c>
    </row>
    <row r="682" spans="1:13" x14ac:dyDescent="0.25">
      <c r="A682" s="10">
        <v>1680</v>
      </c>
      <c r="B682" s="3">
        <v>45097</v>
      </c>
      <c r="C682" s="2" t="s">
        <v>23</v>
      </c>
      <c r="D682" s="2" t="s">
        <v>24</v>
      </c>
      <c r="E682" s="2" t="s">
        <v>39</v>
      </c>
      <c r="F682" s="2" t="s">
        <v>17</v>
      </c>
      <c r="G682" s="2">
        <v>5</v>
      </c>
      <c r="H682" s="6">
        <v>39.99</v>
      </c>
      <c r="I682" s="4">
        <f t="shared" si="10"/>
        <v>199.95000000000002</v>
      </c>
      <c r="J682" s="2" t="s">
        <v>33</v>
      </c>
      <c r="K682" s="2" t="s">
        <v>28</v>
      </c>
      <c r="L682" s="2" t="s">
        <v>35</v>
      </c>
      <c r="M682" s="11" t="s">
        <v>697</v>
      </c>
    </row>
    <row r="683" spans="1:13" x14ac:dyDescent="0.25">
      <c r="A683" s="10">
        <v>1681</v>
      </c>
      <c r="B683" s="5" t="s">
        <v>697</v>
      </c>
      <c r="C683" s="2" t="s">
        <v>77</v>
      </c>
      <c r="D683" s="2" t="s">
        <v>114</v>
      </c>
      <c r="E683" s="2" t="s">
        <v>31</v>
      </c>
      <c r="F683" s="2" t="s">
        <v>32</v>
      </c>
      <c r="G683" s="2">
        <v>1</v>
      </c>
      <c r="H683" s="6">
        <v>79.989999999999995</v>
      </c>
      <c r="I683" s="4">
        <f t="shared" si="10"/>
        <v>79.989999999999995</v>
      </c>
      <c r="J683" s="2" t="s">
        <v>33</v>
      </c>
      <c r="K683" s="2" t="s">
        <v>28</v>
      </c>
      <c r="L683" s="2" t="s">
        <v>29</v>
      </c>
      <c r="M683" s="11" t="s">
        <v>697</v>
      </c>
    </row>
    <row r="684" spans="1:13" x14ac:dyDescent="0.25">
      <c r="A684" s="10">
        <v>1682</v>
      </c>
      <c r="B684" s="5" t="s">
        <v>697</v>
      </c>
      <c r="C684" s="2" t="s">
        <v>14</v>
      </c>
      <c r="D684" s="2" t="s">
        <v>15</v>
      </c>
      <c r="E684" s="2" t="s">
        <v>82</v>
      </c>
      <c r="F684" s="2" t="s">
        <v>60</v>
      </c>
      <c r="G684" s="2">
        <v>2</v>
      </c>
      <c r="H684" s="6">
        <v>4.99</v>
      </c>
      <c r="I684" s="4">
        <f t="shared" si="10"/>
        <v>9.98</v>
      </c>
      <c r="J684" s="2" t="s">
        <v>33</v>
      </c>
      <c r="K684" s="2" t="s">
        <v>34</v>
      </c>
      <c r="L684" s="2" t="s">
        <v>35</v>
      </c>
      <c r="M684" s="11" t="s">
        <v>697</v>
      </c>
    </row>
    <row r="685" spans="1:13" x14ac:dyDescent="0.25">
      <c r="A685" s="10">
        <v>1683</v>
      </c>
      <c r="B685" s="5" t="s">
        <v>697</v>
      </c>
      <c r="C685" s="2" t="s">
        <v>23</v>
      </c>
      <c r="D685" s="2" t="s">
        <v>24</v>
      </c>
      <c r="E685" s="2" t="s">
        <v>31</v>
      </c>
      <c r="F685" s="2" t="s">
        <v>32</v>
      </c>
      <c r="G685" s="2">
        <v>2</v>
      </c>
      <c r="H685" s="6">
        <v>79.989999999999995</v>
      </c>
      <c r="I685" s="4">
        <f t="shared" si="10"/>
        <v>159.97999999999999</v>
      </c>
      <c r="J685" s="2" t="s">
        <v>33</v>
      </c>
      <c r="K685" s="2" t="s">
        <v>28</v>
      </c>
      <c r="L685" s="2" t="s">
        <v>35</v>
      </c>
      <c r="M685" s="11" t="s">
        <v>697</v>
      </c>
    </row>
    <row r="686" spans="1:13" x14ac:dyDescent="0.25">
      <c r="A686" s="10">
        <v>1684</v>
      </c>
      <c r="B686" s="3">
        <v>44947</v>
      </c>
      <c r="C686" s="2" t="s">
        <v>70</v>
      </c>
      <c r="D686" s="2" t="s">
        <v>88</v>
      </c>
      <c r="E686" s="2" t="s">
        <v>92</v>
      </c>
      <c r="F686" s="2" t="s">
        <v>26</v>
      </c>
      <c r="G686" s="2">
        <v>4</v>
      </c>
      <c r="H686" s="6">
        <v>14.99</v>
      </c>
      <c r="I686" s="4">
        <f t="shared" si="10"/>
        <v>59.96</v>
      </c>
      <c r="J686" s="2" t="s">
        <v>33</v>
      </c>
      <c r="K686" s="2" t="s">
        <v>28</v>
      </c>
      <c r="L686" s="2" t="s">
        <v>29</v>
      </c>
      <c r="M686" s="11" t="s">
        <v>697</v>
      </c>
    </row>
    <row r="687" spans="1:13" x14ac:dyDescent="0.25">
      <c r="A687" s="10">
        <v>1685</v>
      </c>
      <c r="B687" s="3">
        <v>45117</v>
      </c>
      <c r="C687" s="2" t="s">
        <v>23</v>
      </c>
      <c r="D687" s="2" t="s">
        <v>81</v>
      </c>
      <c r="E687" s="2" t="s">
        <v>72</v>
      </c>
      <c r="F687" s="2" t="s">
        <v>73</v>
      </c>
      <c r="G687" s="2">
        <v>5</v>
      </c>
      <c r="H687" s="6">
        <v>49.99</v>
      </c>
      <c r="I687" s="4">
        <f t="shared" si="10"/>
        <v>249.95000000000002</v>
      </c>
      <c r="J687" s="2" t="s">
        <v>19</v>
      </c>
      <c r="K687" s="2" t="s">
        <v>34</v>
      </c>
      <c r="L687" s="2" t="s">
        <v>35</v>
      </c>
      <c r="M687" s="11" t="s">
        <v>697</v>
      </c>
    </row>
    <row r="688" spans="1:13" x14ac:dyDescent="0.25">
      <c r="A688" s="10">
        <v>1686</v>
      </c>
      <c r="B688" s="3">
        <v>45094</v>
      </c>
      <c r="C688" s="2" t="s">
        <v>14</v>
      </c>
      <c r="D688" s="2" t="s">
        <v>75</v>
      </c>
      <c r="E688" s="2" t="s">
        <v>31</v>
      </c>
      <c r="F688" s="2" t="s">
        <v>32</v>
      </c>
      <c r="G688" s="2">
        <v>2</v>
      </c>
      <c r="H688" s="6">
        <v>79.989999999999995</v>
      </c>
      <c r="I688" s="4">
        <f t="shared" si="10"/>
        <v>159.97999999999999</v>
      </c>
      <c r="J688" s="2" t="s">
        <v>54</v>
      </c>
      <c r="K688" s="2" t="s">
        <v>28</v>
      </c>
      <c r="L688" s="2" t="s">
        <v>35</v>
      </c>
      <c r="M688" s="11" t="s">
        <v>697</v>
      </c>
    </row>
    <row r="689" spans="1:13" x14ac:dyDescent="0.25">
      <c r="A689" s="10">
        <v>1687</v>
      </c>
      <c r="B689" s="3">
        <v>44962</v>
      </c>
      <c r="C689" s="2" t="s">
        <v>42</v>
      </c>
      <c r="D689" s="2" t="s">
        <v>48</v>
      </c>
      <c r="E689" s="2" t="s">
        <v>31</v>
      </c>
      <c r="F689" s="2" t="s">
        <v>32</v>
      </c>
      <c r="G689" s="2">
        <v>3</v>
      </c>
      <c r="H689" s="6">
        <v>79.989999999999995</v>
      </c>
      <c r="I689" s="4">
        <f t="shared" si="10"/>
        <v>239.96999999999997</v>
      </c>
      <c r="J689" s="2" t="s">
        <v>54</v>
      </c>
      <c r="K689" s="2" t="s">
        <v>45</v>
      </c>
      <c r="L689" s="2" t="s">
        <v>29</v>
      </c>
      <c r="M689" s="11" t="s">
        <v>697</v>
      </c>
    </row>
    <row r="690" spans="1:13" x14ac:dyDescent="0.25">
      <c r="A690" s="10">
        <v>1688</v>
      </c>
      <c r="B690" s="3">
        <v>45069</v>
      </c>
      <c r="C690" s="2" t="s">
        <v>14</v>
      </c>
      <c r="D690" s="2" t="s">
        <v>84</v>
      </c>
      <c r="E690" s="2" t="s">
        <v>92</v>
      </c>
      <c r="F690" s="2" t="s">
        <v>26</v>
      </c>
      <c r="G690" s="2">
        <v>1</v>
      </c>
      <c r="H690" s="6">
        <v>14.99</v>
      </c>
      <c r="I690" s="4">
        <f t="shared" si="10"/>
        <v>14.99</v>
      </c>
      <c r="J690" s="2" t="s">
        <v>27</v>
      </c>
      <c r="K690" s="2" t="s">
        <v>45</v>
      </c>
      <c r="L690" s="2" t="s">
        <v>35</v>
      </c>
      <c r="M690" s="11" t="s">
        <v>697</v>
      </c>
    </row>
    <row r="691" spans="1:13" x14ac:dyDescent="0.25">
      <c r="A691" s="10">
        <v>1689</v>
      </c>
      <c r="B691" s="3">
        <v>45398</v>
      </c>
      <c r="C691" s="2" t="s">
        <v>23</v>
      </c>
      <c r="D691" s="2" t="s">
        <v>81</v>
      </c>
      <c r="E691" s="2" t="s">
        <v>85</v>
      </c>
      <c r="F691" s="2" t="s">
        <v>26</v>
      </c>
      <c r="G691" s="4" t="s">
        <v>697</v>
      </c>
      <c r="H691" s="6">
        <v>99.99</v>
      </c>
      <c r="I691" s="4" t="str">
        <f t="shared" si="10"/>
        <v>N/A</v>
      </c>
      <c r="J691" s="2" t="s">
        <v>33</v>
      </c>
      <c r="K691" s="2" t="s">
        <v>34</v>
      </c>
      <c r="L691" s="2" t="s">
        <v>29</v>
      </c>
      <c r="M691" s="11" t="s">
        <v>697</v>
      </c>
    </row>
    <row r="692" spans="1:13" x14ac:dyDescent="0.25">
      <c r="A692" s="10">
        <v>1690</v>
      </c>
      <c r="B692" s="3">
        <v>45305</v>
      </c>
      <c r="C692" s="2" t="s">
        <v>14</v>
      </c>
      <c r="D692" s="2" t="s">
        <v>15</v>
      </c>
      <c r="E692" s="2" t="s">
        <v>44</v>
      </c>
      <c r="F692" s="2" t="s">
        <v>17</v>
      </c>
      <c r="G692" s="2">
        <v>1</v>
      </c>
      <c r="H692" s="6">
        <v>15.99</v>
      </c>
      <c r="I692" s="4">
        <f t="shared" si="10"/>
        <v>15.99</v>
      </c>
      <c r="J692" s="2" t="s">
        <v>54</v>
      </c>
      <c r="K692" s="2" t="s">
        <v>34</v>
      </c>
      <c r="L692" s="2" t="s">
        <v>35</v>
      </c>
      <c r="M692" s="11" t="s">
        <v>697</v>
      </c>
    </row>
    <row r="693" spans="1:13" x14ac:dyDescent="0.25">
      <c r="A693" s="10">
        <v>1691</v>
      </c>
      <c r="B693" s="5" t="s">
        <v>697</v>
      </c>
      <c r="C693" s="2" t="s">
        <v>77</v>
      </c>
      <c r="D693" s="2" t="s">
        <v>78</v>
      </c>
      <c r="E693" s="2" t="s">
        <v>85</v>
      </c>
      <c r="F693" s="2" t="s">
        <v>26</v>
      </c>
      <c r="G693" s="2">
        <v>5</v>
      </c>
      <c r="H693" s="6">
        <v>99.99</v>
      </c>
      <c r="I693" s="4">
        <f t="shared" si="10"/>
        <v>499.95</v>
      </c>
      <c r="J693" s="2" t="s">
        <v>33</v>
      </c>
      <c r="K693" s="2" t="s">
        <v>45</v>
      </c>
      <c r="L693" s="2" t="s">
        <v>35</v>
      </c>
      <c r="M693" s="11" t="s">
        <v>697</v>
      </c>
    </row>
    <row r="694" spans="1:13" x14ac:dyDescent="0.25">
      <c r="A694" s="10">
        <v>1692</v>
      </c>
      <c r="B694" s="5" t="s">
        <v>697</v>
      </c>
      <c r="C694" s="2" t="s">
        <v>77</v>
      </c>
      <c r="D694" s="2" t="s">
        <v>91</v>
      </c>
      <c r="E694" s="2" t="s">
        <v>127</v>
      </c>
      <c r="F694" s="2" t="s">
        <v>73</v>
      </c>
      <c r="G694" s="2">
        <v>5</v>
      </c>
      <c r="H694" s="6">
        <v>29.99</v>
      </c>
      <c r="I694" s="4">
        <f t="shared" si="10"/>
        <v>149.94999999999999</v>
      </c>
      <c r="J694" s="2" t="s">
        <v>33</v>
      </c>
      <c r="K694" s="2" t="s">
        <v>28</v>
      </c>
      <c r="L694" s="2" t="s">
        <v>35</v>
      </c>
      <c r="M694" s="11" t="s">
        <v>697</v>
      </c>
    </row>
    <row r="695" spans="1:13" x14ac:dyDescent="0.25">
      <c r="A695" s="10">
        <v>1693</v>
      </c>
      <c r="B695" s="3">
        <v>45227</v>
      </c>
      <c r="C695" s="2" t="s">
        <v>77</v>
      </c>
      <c r="D695" s="2" t="s">
        <v>78</v>
      </c>
      <c r="E695" s="2" t="s">
        <v>82</v>
      </c>
      <c r="F695" s="2" t="s">
        <v>60</v>
      </c>
      <c r="G695" s="2">
        <v>5</v>
      </c>
      <c r="H695" s="6">
        <v>4.99</v>
      </c>
      <c r="I695" s="4">
        <f t="shared" si="10"/>
        <v>24.950000000000003</v>
      </c>
      <c r="J695" s="2" t="s">
        <v>19</v>
      </c>
      <c r="K695" s="2" t="s">
        <v>55</v>
      </c>
      <c r="L695" s="2" t="s">
        <v>35</v>
      </c>
      <c r="M695" s="11" t="s">
        <v>697</v>
      </c>
    </row>
    <row r="696" spans="1:13" x14ac:dyDescent="0.25">
      <c r="A696" s="10">
        <v>1694</v>
      </c>
      <c r="B696" s="5" t="s">
        <v>697</v>
      </c>
      <c r="C696" s="2" t="s">
        <v>70</v>
      </c>
      <c r="D696" s="2" t="s">
        <v>71</v>
      </c>
      <c r="E696" s="2" t="s">
        <v>44</v>
      </c>
      <c r="F696" s="2" t="s">
        <v>17</v>
      </c>
      <c r="G696" s="2">
        <v>1</v>
      </c>
      <c r="H696" s="6">
        <v>15.99</v>
      </c>
      <c r="I696" s="4">
        <f t="shared" si="10"/>
        <v>15.99</v>
      </c>
      <c r="J696" s="2" t="s">
        <v>19</v>
      </c>
      <c r="K696" s="2" t="s">
        <v>34</v>
      </c>
      <c r="L696" s="2" t="s">
        <v>35</v>
      </c>
      <c r="M696" s="11" t="s">
        <v>697</v>
      </c>
    </row>
    <row r="697" spans="1:13" x14ac:dyDescent="0.25">
      <c r="A697" s="10">
        <v>1695</v>
      </c>
      <c r="B697" s="3">
        <v>45245</v>
      </c>
      <c r="C697" s="2" t="s">
        <v>42</v>
      </c>
      <c r="D697" s="2" t="s">
        <v>116</v>
      </c>
      <c r="E697" s="2" t="s">
        <v>44</v>
      </c>
      <c r="F697" s="2" t="s">
        <v>17</v>
      </c>
      <c r="G697" s="2">
        <v>3</v>
      </c>
      <c r="H697" s="6">
        <v>15.99</v>
      </c>
      <c r="I697" s="4">
        <f t="shared" si="10"/>
        <v>47.97</v>
      </c>
      <c r="J697" s="2" t="s">
        <v>19</v>
      </c>
      <c r="K697" s="2" t="s">
        <v>55</v>
      </c>
      <c r="L697" s="2" t="s">
        <v>35</v>
      </c>
      <c r="M697" s="11" t="s">
        <v>697</v>
      </c>
    </row>
    <row r="698" spans="1:13" x14ac:dyDescent="0.25">
      <c r="A698" s="10">
        <v>1696</v>
      </c>
      <c r="B698" s="3">
        <v>44945</v>
      </c>
      <c r="C698" s="2" t="s">
        <v>70</v>
      </c>
      <c r="D698" s="2" t="s">
        <v>131</v>
      </c>
      <c r="E698" s="2" t="s">
        <v>85</v>
      </c>
      <c r="F698" s="2" t="s">
        <v>26</v>
      </c>
      <c r="G698" s="2">
        <v>2</v>
      </c>
      <c r="H698" s="6">
        <v>99.99</v>
      </c>
      <c r="I698" s="4">
        <f t="shared" si="10"/>
        <v>199.98</v>
      </c>
      <c r="J698" s="2" t="s">
        <v>27</v>
      </c>
      <c r="K698" s="2" t="s">
        <v>55</v>
      </c>
      <c r="L698" s="2" t="s">
        <v>29</v>
      </c>
      <c r="M698" s="11" t="s">
        <v>697</v>
      </c>
    </row>
    <row r="699" spans="1:13" x14ac:dyDescent="0.25">
      <c r="A699" s="10">
        <v>1697</v>
      </c>
      <c r="B699" s="5" t="s">
        <v>697</v>
      </c>
      <c r="C699" s="2" t="s">
        <v>14</v>
      </c>
      <c r="D699" s="2" t="s">
        <v>75</v>
      </c>
      <c r="E699" s="2" t="s">
        <v>85</v>
      </c>
      <c r="F699" s="2" t="s">
        <v>26</v>
      </c>
      <c r="G699" s="2">
        <v>4</v>
      </c>
      <c r="H699" s="6">
        <v>99.99</v>
      </c>
      <c r="I699" s="4">
        <f t="shared" si="10"/>
        <v>399.96</v>
      </c>
      <c r="J699" s="2" t="s">
        <v>27</v>
      </c>
      <c r="K699" s="2" t="s">
        <v>55</v>
      </c>
      <c r="L699" s="2" t="s">
        <v>35</v>
      </c>
      <c r="M699" s="11" t="s">
        <v>697</v>
      </c>
    </row>
    <row r="700" spans="1:13" x14ac:dyDescent="0.25">
      <c r="A700" s="10">
        <v>1698</v>
      </c>
      <c r="B700" s="3">
        <v>45279</v>
      </c>
      <c r="C700" s="2" t="s">
        <v>70</v>
      </c>
      <c r="D700" s="2" t="s">
        <v>71</v>
      </c>
      <c r="E700" s="2" t="s">
        <v>85</v>
      </c>
      <c r="F700" s="2" t="s">
        <v>26</v>
      </c>
      <c r="G700" s="4" t="s">
        <v>697</v>
      </c>
      <c r="H700" s="6">
        <v>99.99</v>
      </c>
      <c r="I700" s="4" t="str">
        <f t="shared" si="10"/>
        <v>N/A</v>
      </c>
      <c r="J700" s="2" t="s">
        <v>33</v>
      </c>
      <c r="K700" s="2" t="s">
        <v>45</v>
      </c>
      <c r="L700" s="2" t="s">
        <v>35</v>
      </c>
      <c r="M700" s="11" t="s">
        <v>697</v>
      </c>
    </row>
    <row r="701" spans="1:13" x14ac:dyDescent="0.25">
      <c r="A701" s="10">
        <v>1699</v>
      </c>
      <c r="B701" s="3">
        <v>45070</v>
      </c>
      <c r="C701" s="2" t="s">
        <v>37</v>
      </c>
      <c r="D701" s="2" t="s">
        <v>38</v>
      </c>
      <c r="E701" s="2" t="s">
        <v>44</v>
      </c>
      <c r="F701" s="2" t="s">
        <v>17</v>
      </c>
      <c r="G701" s="2">
        <v>2</v>
      </c>
      <c r="H701" s="6">
        <v>15.99</v>
      </c>
      <c r="I701" s="4">
        <f t="shared" si="10"/>
        <v>31.98</v>
      </c>
      <c r="J701" s="2" t="s">
        <v>27</v>
      </c>
      <c r="K701" s="2" t="s">
        <v>34</v>
      </c>
      <c r="L701" s="2" t="s">
        <v>35</v>
      </c>
      <c r="M701" s="11" t="s">
        <v>697</v>
      </c>
    </row>
    <row r="702" spans="1:13" x14ac:dyDescent="0.25">
      <c r="A702" s="10">
        <v>1700</v>
      </c>
      <c r="B702" s="5" t="s">
        <v>697</v>
      </c>
      <c r="C702" s="2" t="s">
        <v>65</v>
      </c>
      <c r="D702" s="2" t="s">
        <v>66</v>
      </c>
      <c r="E702" s="2" t="s">
        <v>127</v>
      </c>
      <c r="F702" s="2" t="s">
        <v>73</v>
      </c>
      <c r="G702" s="4" t="s">
        <v>697</v>
      </c>
      <c r="H702" s="6">
        <v>29.99</v>
      </c>
      <c r="I702" s="4" t="str">
        <f t="shared" si="10"/>
        <v>N/A</v>
      </c>
      <c r="J702" s="2" t="s">
        <v>33</v>
      </c>
      <c r="K702" s="2" t="s">
        <v>129</v>
      </c>
      <c r="L702" s="2" t="s">
        <v>35</v>
      </c>
      <c r="M702" s="11" t="s">
        <v>697</v>
      </c>
    </row>
    <row r="703" spans="1:13" x14ac:dyDescent="0.25">
      <c r="A703" s="10">
        <v>1701</v>
      </c>
      <c r="B703" s="3">
        <v>45294</v>
      </c>
      <c r="C703" s="2" t="s">
        <v>70</v>
      </c>
      <c r="D703" s="2" t="s">
        <v>88</v>
      </c>
      <c r="E703" s="2" t="s">
        <v>44</v>
      </c>
      <c r="F703" s="2" t="s">
        <v>17</v>
      </c>
      <c r="G703" s="2">
        <v>4</v>
      </c>
      <c r="H703" s="6">
        <v>15.99</v>
      </c>
      <c r="I703" s="4">
        <f t="shared" si="10"/>
        <v>63.96</v>
      </c>
      <c r="J703" s="2" t="s">
        <v>33</v>
      </c>
      <c r="K703" s="2" t="s">
        <v>45</v>
      </c>
      <c r="L703" s="2" t="s">
        <v>40</v>
      </c>
      <c r="M703" s="11" t="s">
        <v>697</v>
      </c>
    </row>
    <row r="704" spans="1:13" x14ac:dyDescent="0.25">
      <c r="A704" s="10">
        <v>1702</v>
      </c>
      <c r="B704" s="5" t="s">
        <v>697</v>
      </c>
      <c r="C704" s="2" t="s">
        <v>65</v>
      </c>
      <c r="D704" s="2" t="s">
        <v>123</v>
      </c>
      <c r="E704" s="2" t="s">
        <v>127</v>
      </c>
      <c r="F704" s="2" t="s">
        <v>73</v>
      </c>
      <c r="G704" s="2">
        <v>1</v>
      </c>
      <c r="H704" s="6">
        <v>29.99</v>
      </c>
      <c r="I704" s="4">
        <f t="shared" si="10"/>
        <v>29.99</v>
      </c>
      <c r="J704" s="2" t="s">
        <v>19</v>
      </c>
      <c r="K704" s="2" t="s">
        <v>34</v>
      </c>
      <c r="L704" s="2" t="s">
        <v>35</v>
      </c>
      <c r="M704" s="11" t="s">
        <v>697</v>
      </c>
    </row>
    <row r="705" spans="1:13" x14ac:dyDescent="0.25">
      <c r="A705" s="10">
        <v>1703</v>
      </c>
      <c r="B705" s="5" t="s">
        <v>697</v>
      </c>
      <c r="C705" s="2" t="s">
        <v>37</v>
      </c>
      <c r="D705" s="4" t="s">
        <v>697</v>
      </c>
      <c r="E705" s="2" t="s">
        <v>39</v>
      </c>
      <c r="F705" s="2" t="s">
        <v>17</v>
      </c>
      <c r="G705" s="4" t="s">
        <v>697</v>
      </c>
      <c r="H705" s="6">
        <v>39.99</v>
      </c>
      <c r="I705" s="4" t="str">
        <f t="shared" si="10"/>
        <v>N/A</v>
      </c>
      <c r="J705" s="2" t="s">
        <v>54</v>
      </c>
      <c r="K705" s="2" t="s">
        <v>129</v>
      </c>
      <c r="L705" s="2" t="s">
        <v>29</v>
      </c>
      <c r="M705" s="11" t="s">
        <v>697</v>
      </c>
    </row>
    <row r="706" spans="1:13" x14ac:dyDescent="0.25">
      <c r="A706" s="10">
        <v>1704</v>
      </c>
      <c r="B706" s="3">
        <v>45133</v>
      </c>
      <c r="C706" s="2" t="s">
        <v>37</v>
      </c>
      <c r="D706" s="2" t="s">
        <v>162</v>
      </c>
      <c r="E706" s="2" t="s">
        <v>31</v>
      </c>
      <c r="F706" s="2" t="s">
        <v>32</v>
      </c>
      <c r="G706" s="2">
        <v>1</v>
      </c>
      <c r="H706" s="6">
        <v>79.989999999999995</v>
      </c>
      <c r="I706" s="4">
        <f t="shared" si="10"/>
        <v>79.989999999999995</v>
      </c>
      <c r="J706" s="2" t="s">
        <v>33</v>
      </c>
      <c r="K706" s="2" t="s">
        <v>45</v>
      </c>
      <c r="L706" s="2" t="s">
        <v>35</v>
      </c>
      <c r="M706" s="11" t="s">
        <v>697</v>
      </c>
    </row>
    <row r="707" spans="1:13" x14ac:dyDescent="0.25">
      <c r="A707" s="10">
        <v>1705</v>
      </c>
      <c r="B707" s="3">
        <v>45279</v>
      </c>
      <c r="C707" s="2" t="s">
        <v>14</v>
      </c>
      <c r="D707" s="2" t="s">
        <v>75</v>
      </c>
      <c r="E707" s="2" t="s">
        <v>72</v>
      </c>
      <c r="F707" s="2" t="s">
        <v>73</v>
      </c>
      <c r="G707" s="4" t="s">
        <v>697</v>
      </c>
      <c r="H707" s="6">
        <v>49.99</v>
      </c>
      <c r="I707" s="4" t="str">
        <f t="shared" ref="I707:I770" si="11">IF(G707="N/A","N/A",PRODUCT(G707,H707))</f>
        <v>N/A</v>
      </c>
      <c r="J707" s="2" t="s">
        <v>33</v>
      </c>
      <c r="K707" s="2" t="s">
        <v>45</v>
      </c>
      <c r="L707" s="2" t="s">
        <v>29</v>
      </c>
      <c r="M707" s="11" t="s">
        <v>697</v>
      </c>
    </row>
    <row r="708" spans="1:13" x14ac:dyDescent="0.25">
      <c r="A708" s="10">
        <v>1706</v>
      </c>
      <c r="B708" s="3">
        <v>45407</v>
      </c>
      <c r="C708" s="2" t="s">
        <v>70</v>
      </c>
      <c r="D708" s="2" t="s">
        <v>88</v>
      </c>
      <c r="E708" s="2" t="s">
        <v>44</v>
      </c>
      <c r="F708" s="2" t="s">
        <v>17</v>
      </c>
      <c r="G708" s="4" t="s">
        <v>697</v>
      </c>
      <c r="H708" s="6">
        <v>15.99</v>
      </c>
      <c r="I708" s="4" t="str">
        <f t="shared" si="11"/>
        <v>N/A</v>
      </c>
      <c r="J708" s="2" t="s">
        <v>33</v>
      </c>
      <c r="K708" s="2" t="s">
        <v>28</v>
      </c>
      <c r="L708" s="2" t="s">
        <v>40</v>
      </c>
      <c r="M708" s="11" t="s">
        <v>697</v>
      </c>
    </row>
    <row r="709" spans="1:13" x14ac:dyDescent="0.25">
      <c r="A709" s="10">
        <v>1707</v>
      </c>
      <c r="B709" s="3">
        <v>44927</v>
      </c>
      <c r="C709" s="2" t="s">
        <v>77</v>
      </c>
      <c r="D709" s="2" t="s">
        <v>114</v>
      </c>
      <c r="E709" s="2" t="s">
        <v>31</v>
      </c>
      <c r="F709" s="2" t="s">
        <v>32</v>
      </c>
      <c r="G709" s="2">
        <v>1</v>
      </c>
      <c r="H709" s="6">
        <v>79.989999999999995</v>
      </c>
      <c r="I709" s="4">
        <f t="shared" si="11"/>
        <v>79.989999999999995</v>
      </c>
      <c r="J709" s="2" t="s">
        <v>27</v>
      </c>
      <c r="K709" s="2" t="s">
        <v>28</v>
      </c>
      <c r="L709" s="2" t="s">
        <v>35</v>
      </c>
      <c r="M709" s="11" t="s">
        <v>697</v>
      </c>
    </row>
    <row r="710" spans="1:13" x14ac:dyDescent="0.25">
      <c r="A710" s="10">
        <v>1708</v>
      </c>
      <c r="B710" s="3">
        <v>45176</v>
      </c>
      <c r="C710" s="2" t="s">
        <v>14</v>
      </c>
      <c r="D710" s="2" t="s">
        <v>84</v>
      </c>
      <c r="E710" s="2" t="s">
        <v>31</v>
      </c>
      <c r="F710" s="2" t="s">
        <v>32</v>
      </c>
      <c r="G710" s="2">
        <v>1</v>
      </c>
      <c r="H710" s="6">
        <v>79.989999999999995</v>
      </c>
      <c r="I710" s="4">
        <f t="shared" si="11"/>
        <v>79.989999999999995</v>
      </c>
      <c r="J710" s="2" t="s">
        <v>33</v>
      </c>
      <c r="K710" s="2" t="s">
        <v>28</v>
      </c>
      <c r="L710" s="2" t="s">
        <v>35</v>
      </c>
      <c r="M710" s="11" t="s">
        <v>697</v>
      </c>
    </row>
    <row r="711" spans="1:13" x14ac:dyDescent="0.25">
      <c r="A711" s="10">
        <v>1709</v>
      </c>
      <c r="B711" s="3">
        <v>45237</v>
      </c>
      <c r="C711" s="2" t="s">
        <v>42</v>
      </c>
      <c r="D711" s="2" t="s">
        <v>43</v>
      </c>
      <c r="E711" s="2" t="s">
        <v>127</v>
      </c>
      <c r="F711" s="2" t="s">
        <v>73</v>
      </c>
      <c r="G711" s="2">
        <v>1</v>
      </c>
      <c r="H711" s="6">
        <v>29.99</v>
      </c>
      <c r="I711" s="4">
        <f t="shared" si="11"/>
        <v>29.99</v>
      </c>
      <c r="J711" s="2" t="s">
        <v>33</v>
      </c>
      <c r="K711" s="2" t="s">
        <v>129</v>
      </c>
      <c r="L711" s="2" t="s">
        <v>35</v>
      </c>
      <c r="M711" s="11" t="s">
        <v>697</v>
      </c>
    </row>
    <row r="712" spans="1:13" x14ac:dyDescent="0.25">
      <c r="A712" s="10">
        <v>1710</v>
      </c>
      <c r="B712" s="3">
        <v>45039</v>
      </c>
      <c r="C712" s="2" t="s">
        <v>42</v>
      </c>
      <c r="D712" s="2" t="s">
        <v>116</v>
      </c>
      <c r="E712" s="2" t="s">
        <v>92</v>
      </c>
      <c r="F712" s="2" t="s">
        <v>26</v>
      </c>
      <c r="G712" s="2">
        <v>2</v>
      </c>
      <c r="H712" s="6">
        <v>14.99</v>
      </c>
      <c r="I712" s="4">
        <f t="shared" si="11"/>
        <v>29.98</v>
      </c>
      <c r="J712" s="2" t="s">
        <v>54</v>
      </c>
      <c r="K712" s="2" t="s">
        <v>45</v>
      </c>
      <c r="L712" s="2" t="s">
        <v>35</v>
      </c>
      <c r="M712" s="11" t="s">
        <v>697</v>
      </c>
    </row>
    <row r="713" spans="1:13" x14ac:dyDescent="0.25">
      <c r="A713" s="10">
        <v>1711</v>
      </c>
      <c r="B713" s="3">
        <v>45060</v>
      </c>
      <c r="C713" s="2" t="s">
        <v>42</v>
      </c>
      <c r="D713" s="2" t="s">
        <v>48</v>
      </c>
      <c r="E713" s="2" t="s">
        <v>82</v>
      </c>
      <c r="F713" s="2" t="s">
        <v>60</v>
      </c>
      <c r="G713" s="4" t="s">
        <v>697</v>
      </c>
      <c r="H713" s="6">
        <v>4.99</v>
      </c>
      <c r="I713" s="4" t="str">
        <f t="shared" si="11"/>
        <v>N/A</v>
      </c>
      <c r="J713" s="2" t="s">
        <v>33</v>
      </c>
      <c r="K713" s="2" t="s">
        <v>34</v>
      </c>
      <c r="L713" s="2" t="s">
        <v>35</v>
      </c>
      <c r="M713" s="11" t="s">
        <v>697</v>
      </c>
    </row>
    <row r="714" spans="1:13" x14ac:dyDescent="0.25">
      <c r="A714" s="10">
        <v>1712</v>
      </c>
      <c r="B714" s="3">
        <v>45375</v>
      </c>
      <c r="C714" s="2" t="s">
        <v>70</v>
      </c>
      <c r="D714" s="2" t="s">
        <v>71</v>
      </c>
      <c r="E714" s="2" t="s">
        <v>44</v>
      </c>
      <c r="F714" s="2" t="s">
        <v>17</v>
      </c>
      <c r="G714" s="2">
        <v>2</v>
      </c>
      <c r="H714" s="6">
        <v>15.99</v>
      </c>
      <c r="I714" s="4">
        <f t="shared" si="11"/>
        <v>31.98</v>
      </c>
      <c r="J714" s="2" t="s">
        <v>33</v>
      </c>
      <c r="K714" s="2" t="s">
        <v>28</v>
      </c>
      <c r="L714" s="2" t="s">
        <v>29</v>
      </c>
      <c r="M714" s="11" t="s">
        <v>697</v>
      </c>
    </row>
    <row r="715" spans="1:13" x14ac:dyDescent="0.25">
      <c r="A715" s="10">
        <v>1713</v>
      </c>
      <c r="B715" s="3">
        <v>45246</v>
      </c>
      <c r="C715" s="2" t="s">
        <v>70</v>
      </c>
      <c r="D715" s="2" t="s">
        <v>88</v>
      </c>
      <c r="E715" s="2" t="s">
        <v>72</v>
      </c>
      <c r="F715" s="2" t="s">
        <v>73</v>
      </c>
      <c r="G715" s="4" t="s">
        <v>697</v>
      </c>
      <c r="H715" s="6">
        <v>49.99</v>
      </c>
      <c r="I715" s="4" t="str">
        <f t="shared" si="11"/>
        <v>N/A</v>
      </c>
      <c r="J715" s="2" t="s">
        <v>27</v>
      </c>
      <c r="K715" s="2" t="s">
        <v>45</v>
      </c>
      <c r="L715" s="2" t="s">
        <v>35</v>
      </c>
      <c r="M715" s="11" t="s">
        <v>697</v>
      </c>
    </row>
    <row r="716" spans="1:13" x14ac:dyDescent="0.25">
      <c r="A716" s="10">
        <v>1714</v>
      </c>
      <c r="B716" s="3">
        <v>45143</v>
      </c>
      <c r="C716" s="2" t="s">
        <v>23</v>
      </c>
      <c r="D716" s="2" t="s">
        <v>81</v>
      </c>
      <c r="E716" s="2" t="s">
        <v>31</v>
      </c>
      <c r="F716" s="2" t="s">
        <v>32</v>
      </c>
      <c r="G716" s="2">
        <v>2</v>
      </c>
      <c r="H716" s="6">
        <v>79.989999999999995</v>
      </c>
      <c r="I716" s="4">
        <f t="shared" si="11"/>
        <v>159.97999999999999</v>
      </c>
      <c r="J716" s="2" t="s">
        <v>27</v>
      </c>
      <c r="K716" s="2" t="s">
        <v>34</v>
      </c>
      <c r="L716" s="2" t="s">
        <v>40</v>
      </c>
      <c r="M716" s="11" t="s">
        <v>697</v>
      </c>
    </row>
    <row r="717" spans="1:13" x14ac:dyDescent="0.25">
      <c r="A717" s="10">
        <v>1715</v>
      </c>
      <c r="B717" s="3">
        <v>45165</v>
      </c>
      <c r="C717" s="2" t="s">
        <v>70</v>
      </c>
      <c r="D717" s="2" t="s">
        <v>88</v>
      </c>
      <c r="E717" s="2" t="s">
        <v>44</v>
      </c>
      <c r="F717" s="2" t="s">
        <v>17</v>
      </c>
      <c r="G717" s="2">
        <v>1</v>
      </c>
      <c r="H717" s="6">
        <v>15.99</v>
      </c>
      <c r="I717" s="4">
        <f t="shared" si="11"/>
        <v>15.99</v>
      </c>
      <c r="J717" s="2" t="s">
        <v>54</v>
      </c>
      <c r="K717" s="2" t="s">
        <v>34</v>
      </c>
      <c r="L717" s="2" t="s">
        <v>40</v>
      </c>
      <c r="M717" s="11" t="s">
        <v>697</v>
      </c>
    </row>
    <row r="718" spans="1:13" x14ac:dyDescent="0.25">
      <c r="A718" s="10">
        <v>1716</v>
      </c>
      <c r="B718" s="3">
        <v>45404</v>
      </c>
      <c r="C718" s="2" t="s">
        <v>70</v>
      </c>
      <c r="D718" s="2" t="s">
        <v>131</v>
      </c>
      <c r="E718" s="2" t="s">
        <v>52</v>
      </c>
      <c r="F718" s="2" t="s">
        <v>53</v>
      </c>
      <c r="G718" s="2">
        <v>1</v>
      </c>
      <c r="H718" s="6">
        <v>59.99</v>
      </c>
      <c r="I718" s="4">
        <f t="shared" si="11"/>
        <v>59.99</v>
      </c>
      <c r="J718" s="2" t="s">
        <v>19</v>
      </c>
      <c r="K718" s="2" t="s">
        <v>28</v>
      </c>
      <c r="L718" s="2" t="s">
        <v>35</v>
      </c>
      <c r="M718" s="11" t="s">
        <v>697</v>
      </c>
    </row>
    <row r="719" spans="1:13" x14ac:dyDescent="0.25">
      <c r="A719" s="10">
        <v>1717</v>
      </c>
      <c r="B719" s="3">
        <v>44952</v>
      </c>
      <c r="C719" s="2" t="s">
        <v>77</v>
      </c>
      <c r="D719" s="2" t="s">
        <v>78</v>
      </c>
      <c r="E719" s="2" t="s">
        <v>82</v>
      </c>
      <c r="F719" s="2" t="s">
        <v>60</v>
      </c>
      <c r="G719" s="2">
        <v>1</v>
      </c>
      <c r="H719" s="6">
        <v>4.99</v>
      </c>
      <c r="I719" s="4">
        <f t="shared" si="11"/>
        <v>4.99</v>
      </c>
      <c r="J719" s="2" t="s">
        <v>54</v>
      </c>
      <c r="K719" s="2" t="s">
        <v>45</v>
      </c>
      <c r="L719" s="2" t="s">
        <v>29</v>
      </c>
      <c r="M719" s="11" t="s">
        <v>697</v>
      </c>
    </row>
    <row r="720" spans="1:13" x14ac:dyDescent="0.25">
      <c r="A720" s="10">
        <v>1718</v>
      </c>
      <c r="B720" s="5" t="s">
        <v>697</v>
      </c>
      <c r="C720" s="2" t="s">
        <v>37</v>
      </c>
      <c r="D720" s="2" t="s">
        <v>162</v>
      </c>
      <c r="E720" s="2" t="s">
        <v>85</v>
      </c>
      <c r="F720" s="2" t="s">
        <v>26</v>
      </c>
      <c r="G720" s="2">
        <v>5</v>
      </c>
      <c r="H720" s="6">
        <v>99.99</v>
      </c>
      <c r="I720" s="4">
        <f t="shared" si="11"/>
        <v>499.95</v>
      </c>
      <c r="J720" s="2" t="s">
        <v>33</v>
      </c>
      <c r="K720" s="2" t="s">
        <v>28</v>
      </c>
      <c r="L720" s="2" t="s">
        <v>29</v>
      </c>
      <c r="M720" s="11" t="s">
        <v>697</v>
      </c>
    </row>
    <row r="721" spans="1:13" x14ac:dyDescent="0.25">
      <c r="A721" s="10">
        <v>1719</v>
      </c>
      <c r="B721" s="5" t="s">
        <v>697</v>
      </c>
      <c r="C721" s="2" t="s">
        <v>77</v>
      </c>
      <c r="D721" s="2" t="s">
        <v>91</v>
      </c>
      <c r="E721" s="2" t="s">
        <v>39</v>
      </c>
      <c r="F721" s="2" t="s">
        <v>17</v>
      </c>
      <c r="G721" s="4" t="s">
        <v>697</v>
      </c>
      <c r="H721" s="6">
        <v>39.99</v>
      </c>
      <c r="I721" s="4" t="str">
        <f t="shared" si="11"/>
        <v>N/A</v>
      </c>
      <c r="J721" s="2" t="s">
        <v>54</v>
      </c>
      <c r="K721" s="2" t="s">
        <v>34</v>
      </c>
      <c r="L721" s="2" t="s">
        <v>35</v>
      </c>
      <c r="M721" s="11" t="s">
        <v>697</v>
      </c>
    </row>
    <row r="722" spans="1:13" x14ac:dyDescent="0.25">
      <c r="A722" s="10">
        <v>1720</v>
      </c>
      <c r="B722" s="3">
        <v>45374</v>
      </c>
      <c r="C722" s="2" t="s">
        <v>77</v>
      </c>
      <c r="D722" s="2" t="s">
        <v>114</v>
      </c>
      <c r="E722" s="2" t="s">
        <v>44</v>
      </c>
      <c r="F722" s="2" t="s">
        <v>17</v>
      </c>
      <c r="G722" s="2">
        <v>3</v>
      </c>
      <c r="H722" s="6">
        <v>15.99</v>
      </c>
      <c r="I722" s="4">
        <f t="shared" si="11"/>
        <v>47.97</v>
      </c>
      <c r="J722" s="2" t="s">
        <v>33</v>
      </c>
      <c r="K722" s="2" t="s">
        <v>28</v>
      </c>
      <c r="L722" s="2" t="s">
        <v>35</v>
      </c>
      <c r="M722" s="11" t="s">
        <v>697</v>
      </c>
    </row>
    <row r="723" spans="1:13" x14ac:dyDescent="0.25">
      <c r="A723" s="10">
        <v>1721</v>
      </c>
      <c r="B723" s="3">
        <v>44961</v>
      </c>
      <c r="C723" s="2" t="s">
        <v>14</v>
      </c>
      <c r="D723" s="2" t="s">
        <v>75</v>
      </c>
      <c r="E723" s="2" t="s">
        <v>92</v>
      </c>
      <c r="F723" s="2" t="s">
        <v>26</v>
      </c>
      <c r="G723" s="4" t="s">
        <v>697</v>
      </c>
      <c r="H723" s="6">
        <v>14.99</v>
      </c>
      <c r="I723" s="4" t="str">
        <f t="shared" si="11"/>
        <v>N/A</v>
      </c>
      <c r="J723" s="2" t="s">
        <v>33</v>
      </c>
      <c r="K723" s="2" t="s">
        <v>28</v>
      </c>
      <c r="L723" s="2" t="s">
        <v>35</v>
      </c>
      <c r="M723" s="11" t="s">
        <v>697</v>
      </c>
    </row>
    <row r="724" spans="1:13" x14ac:dyDescent="0.25">
      <c r="A724" s="10">
        <v>1722</v>
      </c>
      <c r="B724" s="3">
        <v>45138</v>
      </c>
      <c r="C724" s="2" t="s">
        <v>37</v>
      </c>
      <c r="D724" s="2" t="s">
        <v>162</v>
      </c>
      <c r="E724" s="2" t="s">
        <v>39</v>
      </c>
      <c r="F724" s="2" t="s">
        <v>17</v>
      </c>
      <c r="G724" s="2">
        <v>2</v>
      </c>
      <c r="H724" s="6">
        <v>39.99</v>
      </c>
      <c r="I724" s="4">
        <f t="shared" si="11"/>
        <v>79.98</v>
      </c>
      <c r="J724" s="2" t="s">
        <v>27</v>
      </c>
      <c r="K724" s="2" t="s">
        <v>28</v>
      </c>
      <c r="L724" s="2" t="s">
        <v>35</v>
      </c>
      <c r="M724" s="11" t="s">
        <v>697</v>
      </c>
    </row>
    <row r="725" spans="1:13" x14ac:dyDescent="0.25">
      <c r="A725" s="10">
        <v>1723</v>
      </c>
      <c r="B725" s="5" t="s">
        <v>697</v>
      </c>
      <c r="C725" s="2" t="s">
        <v>77</v>
      </c>
      <c r="D725" s="2" t="s">
        <v>78</v>
      </c>
      <c r="E725" s="2" t="s">
        <v>72</v>
      </c>
      <c r="F725" s="2" t="s">
        <v>73</v>
      </c>
      <c r="G725" s="2">
        <v>3</v>
      </c>
      <c r="H725" s="6">
        <v>49.99</v>
      </c>
      <c r="I725" s="4">
        <f t="shared" si="11"/>
        <v>149.97</v>
      </c>
      <c r="J725" s="2" t="s">
        <v>54</v>
      </c>
      <c r="K725" s="2" t="s">
        <v>45</v>
      </c>
      <c r="L725" s="2" t="s">
        <v>35</v>
      </c>
      <c r="M725" s="11" t="s">
        <v>697</v>
      </c>
    </row>
    <row r="726" spans="1:13" x14ac:dyDescent="0.25">
      <c r="A726" s="10">
        <v>1724</v>
      </c>
      <c r="B726" s="3">
        <v>45152</v>
      </c>
      <c r="C726" s="2" t="s">
        <v>70</v>
      </c>
      <c r="D726" s="2" t="s">
        <v>131</v>
      </c>
      <c r="E726" s="2" t="s">
        <v>44</v>
      </c>
      <c r="F726" s="2" t="s">
        <v>17</v>
      </c>
      <c r="G726" s="2">
        <v>5</v>
      </c>
      <c r="H726" s="6">
        <v>15.99</v>
      </c>
      <c r="I726" s="4">
        <f t="shared" si="11"/>
        <v>79.95</v>
      </c>
      <c r="J726" s="2" t="s">
        <v>33</v>
      </c>
      <c r="K726" s="2" t="s">
        <v>129</v>
      </c>
      <c r="L726" s="2" t="s">
        <v>35</v>
      </c>
      <c r="M726" s="11" t="s">
        <v>697</v>
      </c>
    </row>
    <row r="727" spans="1:13" x14ac:dyDescent="0.25">
      <c r="A727" s="10">
        <v>1725</v>
      </c>
      <c r="B727" s="3">
        <v>45108</v>
      </c>
      <c r="C727" s="2" t="s">
        <v>23</v>
      </c>
      <c r="D727" s="2" t="s">
        <v>24</v>
      </c>
      <c r="E727" s="2" t="s">
        <v>82</v>
      </c>
      <c r="F727" s="2" t="s">
        <v>60</v>
      </c>
      <c r="G727" s="2">
        <v>1</v>
      </c>
      <c r="H727" s="6">
        <v>4.99</v>
      </c>
      <c r="I727" s="4">
        <f t="shared" si="11"/>
        <v>4.99</v>
      </c>
      <c r="J727" s="2" t="s">
        <v>54</v>
      </c>
      <c r="K727" s="2" t="s">
        <v>129</v>
      </c>
      <c r="L727" s="2" t="s">
        <v>35</v>
      </c>
      <c r="M727" s="11" t="s">
        <v>697</v>
      </c>
    </row>
    <row r="728" spans="1:13" x14ac:dyDescent="0.25">
      <c r="A728" s="10">
        <v>1726</v>
      </c>
      <c r="B728" s="5" t="s">
        <v>697</v>
      </c>
      <c r="C728" s="2" t="s">
        <v>65</v>
      </c>
      <c r="D728" s="2" t="s">
        <v>123</v>
      </c>
      <c r="E728" s="2" t="s">
        <v>39</v>
      </c>
      <c r="F728" s="2" t="s">
        <v>17</v>
      </c>
      <c r="G728" s="2">
        <v>1</v>
      </c>
      <c r="H728" s="6">
        <v>39.99</v>
      </c>
      <c r="I728" s="4">
        <f t="shared" si="11"/>
        <v>39.99</v>
      </c>
      <c r="J728" s="2" t="s">
        <v>33</v>
      </c>
      <c r="K728" s="2" t="s">
        <v>28</v>
      </c>
      <c r="L728" s="2" t="s">
        <v>35</v>
      </c>
      <c r="M728" s="11" t="s">
        <v>697</v>
      </c>
    </row>
    <row r="729" spans="1:13" x14ac:dyDescent="0.25">
      <c r="A729" s="10">
        <v>1727</v>
      </c>
      <c r="B729" s="3">
        <v>45330</v>
      </c>
      <c r="C729" s="2" t="s">
        <v>14</v>
      </c>
      <c r="D729" s="4" t="s">
        <v>697</v>
      </c>
      <c r="E729" s="2" t="s">
        <v>85</v>
      </c>
      <c r="F729" s="2" t="s">
        <v>26</v>
      </c>
      <c r="G729" s="2">
        <v>2</v>
      </c>
      <c r="H729" s="6">
        <v>99.99</v>
      </c>
      <c r="I729" s="4">
        <f t="shared" si="11"/>
        <v>199.98</v>
      </c>
      <c r="J729" s="2" t="s">
        <v>33</v>
      </c>
      <c r="K729" s="2" t="s">
        <v>45</v>
      </c>
      <c r="L729" s="2" t="s">
        <v>35</v>
      </c>
      <c r="M729" s="11" t="s">
        <v>697</v>
      </c>
    </row>
    <row r="730" spans="1:13" x14ac:dyDescent="0.25">
      <c r="A730" s="10">
        <v>1728</v>
      </c>
      <c r="B730" s="3">
        <v>45168</v>
      </c>
      <c r="C730" s="2" t="s">
        <v>65</v>
      </c>
      <c r="D730" s="2" t="s">
        <v>123</v>
      </c>
      <c r="E730" s="2" t="s">
        <v>92</v>
      </c>
      <c r="F730" s="2" t="s">
        <v>26</v>
      </c>
      <c r="G730" s="2">
        <v>1</v>
      </c>
      <c r="H730" s="6">
        <v>14.99</v>
      </c>
      <c r="I730" s="4">
        <f t="shared" si="11"/>
        <v>14.99</v>
      </c>
      <c r="J730" s="2" t="s">
        <v>54</v>
      </c>
      <c r="K730" s="2" t="s">
        <v>45</v>
      </c>
      <c r="L730" s="2" t="s">
        <v>35</v>
      </c>
      <c r="M730" s="11" t="s">
        <v>697</v>
      </c>
    </row>
    <row r="731" spans="1:13" x14ac:dyDescent="0.25">
      <c r="A731" s="10">
        <v>1729</v>
      </c>
      <c r="B731" s="5" t="s">
        <v>697</v>
      </c>
      <c r="C731" s="2" t="s">
        <v>77</v>
      </c>
      <c r="D731" s="2" t="s">
        <v>91</v>
      </c>
      <c r="E731" s="2" t="s">
        <v>31</v>
      </c>
      <c r="F731" s="2" t="s">
        <v>32</v>
      </c>
      <c r="G731" s="4" t="s">
        <v>697</v>
      </c>
      <c r="H731" s="6">
        <v>79.989999999999995</v>
      </c>
      <c r="I731" s="4" t="str">
        <f t="shared" si="11"/>
        <v>N/A</v>
      </c>
      <c r="J731" s="2" t="s">
        <v>33</v>
      </c>
      <c r="K731" s="2" t="s">
        <v>45</v>
      </c>
      <c r="L731" s="2" t="s">
        <v>35</v>
      </c>
      <c r="M731" s="11" t="s">
        <v>697</v>
      </c>
    </row>
    <row r="732" spans="1:13" x14ac:dyDescent="0.25">
      <c r="A732" s="10">
        <v>1730</v>
      </c>
      <c r="B732" s="5" t="s">
        <v>697</v>
      </c>
      <c r="C732" s="2" t="s">
        <v>23</v>
      </c>
      <c r="D732" s="2" t="s">
        <v>124</v>
      </c>
      <c r="E732" s="2" t="s">
        <v>31</v>
      </c>
      <c r="F732" s="2" t="s">
        <v>32</v>
      </c>
      <c r="G732" s="2">
        <v>4</v>
      </c>
      <c r="H732" s="6">
        <v>79.989999999999995</v>
      </c>
      <c r="I732" s="4">
        <f t="shared" si="11"/>
        <v>319.95999999999998</v>
      </c>
      <c r="J732" s="2" t="s">
        <v>19</v>
      </c>
      <c r="K732" s="2" t="s">
        <v>55</v>
      </c>
      <c r="L732" s="2" t="s">
        <v>35</v>
      </c>
      <c r="M732" s="11" t="s">
        <v>697</v>
      </c>
    </row>
    <row r="733" spans="1:13" x14ac:dyDescent="0.25">
      <c r="A733" s="10">
        <v>1731</v>
      </c>
      <c r="B733" s="3">
        <v>45291</v>
      </c>
      <c r="C733" s="2" t="s">
        <v>77</v>
      </c>
      <c r="D733" s="2" t="s">
        <v>91</v>
      </c>
      <c r="E733" s="2" t="s">
        <v>85</v>
      </c>
      <c r="F733" s="2" t="s">
        <v>26</v>
      </c>
      <c r="G733" s="2">
        <v>1</v>
      </c>
      <c r="H733" s="6">
        <v>99.99</v>
      </c>
      <c r="I733" s="4">
        <f t="shared" si="11"/>
        <v>99.99</v>
      </c>
      <c r="J733" s="2" t="s">
        <v>33</v>
      </c>
      <c r="K733" s="2" t="s">
        <v>129</v>
      </c>
      <c r="L733" s="2" t="s">
        <v>35</v>
      </c>
      <c r="M733" s="11" t="s">
        <v>697</v>
      </c>
    </row>
    <row r="734" spans="1:13" x14ac:dyDescent="0.25">
      <c r="A734" s="10">
        <v>1732</v>
      </c>
      <c r="B734" s="3">
        <v>45143</v>
      </c>
      <c r="C734" s="2" t="s">
        <v>37</v>
      </c>
      <c r="D734" s="2" t="s">
        <v>169</v>
      </c>
      <c r="E734" s="2" t="s">
        <v>52</v>
      </c>
      <c r="F734" s="2" t="s">
        <v>53</v>
      </c>
      <c r="G734" s="2">
        <v>5</v>
      </c>
      <c r="H734" s="6">
        <v>59.99</v>
      </c>
      <c r="I734" s="4">
        <f t="shared" si="11"/>
        <v>299.95</v>
      </c>
      <c r="J734" s="2" t="s">
        <v>54</v>
      </c>
      <c r="K734" s="2" t="s">
        <v>45</v>
      </c>
      <c r="L734" s="2" t="s">
        <v>35</v>
      </c>
      <c r="M734" s="11" t="s">
        <v>697</v>
      </c>
    </row>
    <row r="735" spans="1:13" x14ac:dyDescent="0.25">
      <c r="A735" s="10">
        <v>1733</v>
      </c>
      <c r="B735" s="3">
        <v>45421</v>
      </c>
      <c r="C735" s="2" t="s">
        <v>65</v>
      </c>
      <c r="D735" s="4" t="s">
        <v>697</v>
      </c>
      <c r="E735" s="2" t="s">
        <v>44</v>
      </c>
      <c r="F735" s="2" t="s">
        <v>17</v>
      </c>
      <c r="G735" s="2">
        <v>1</v>
      </c>
      <c r="H735" s="6">
        <v>15.99</v>
      </c>
      <c r="I735" s="4">
        <f t="shared" si="11"/>
        <v>15.99</v>
      </c>
      <c r="J735" s="2" t="s">
        <v>54</v>
      </c>
      <c r="K735" s="2" t="s">
        <v>45</v>
      </c>
      <c r="L735" s="2" t="s">
        <v>35</v>
      </c>
      <c r="M735" s="11" t="s">
        <v>697</v>
      </c>
    </row>
    <row r="736" spans="1:13" x14ac:dyDescent="0.25">
      <c r="A736" s="10">
        <v>1734</v>
      </c>
      <c r="B736" s="5" t="s">
        <v>697</v>
      </c>
      <c r="C736" s="2" t="s">
        <v>70</v>
      </c>
      <c r="D736" s="2" t="s">
        <v>88</v>
      </c>
      <c r="E736" s="2" t="s">
        <v>82</v>
      </c>
      <c r="F736" s="2" t="s">
        <v>60</v>
      </c>
      <c r="G736" s="2">
        <v>1</v>
      </c>
      <c r="H736" s="6">
        <v>4.99</v>
      </c>
      <c r="I736" s="4">
        <f t="shared" si="11"/>
        <v>4.99</v>
      </c>
      <c r="J736" s="2" t="s">
        <v>54</v>
      </c>
      <c r="K736" s="2" t="s">
        <v>129</v>
      </c>
      <c r="L736" s="2" t="s">
        <v>35</v>
      </c>
      <c r="M736" s="11" t="s">
        <v>697</v>
      </c>
    </row>
    <row r="737" spans="1:13" x14ac:dyDescent="0.25">
      <c r="A737" s="10">
        <v>1735</v>
      </c>
      <c r="B737" s="3">
        <v>45215</v>
      </c>
      <c r="C737" s="2" t="s">
        <v>14</v>
      </c>
      <c r="D737" s="2" t="s">
        <v>15</v>
      </c>
      <c r="E737" s="2" t="s">
        <v>82</v>
      </c>
      <c r="F737" s="2" t="s">
        <v>60</v>
      </c>
      <c r="G737" s="2">
        <v>3</v>
      </c>
      <c r="H737" s="6">
        <v>4.99</v>
      </c>
      <c r="I737" s="4">
        <f t="shared" si="11"/>
        <v>14.97</v>
      </c>
      <c r="J737" s="2" t="s">
        <v>19</v>
      </c>
      <c r="K737" s="2" t="s">
        <v>45</v>
      </c>
      <c r="L737" s="2" t="s">
        <v>35</v>
      </c>
      <c r="M737" s="11" t="s">
        <v>697</v>
      </c>
    </row>
    <row r="738" spans="1:13" x14ac:dyDescent="0.25">
      <c r="A738" s="10">
        <v>1736</v>
      </c>
      <c r="B738" s="3">
        <v>45159</v>
      </c>
      <c r="C738" s="2" t="s">
        <v>37</v>
      </c>
      <c r="D738" s="2" t="s">
        <v>38</v>
      </c>
      <c r="E738" s="2" t="s">
        <v>85</v>
      </c>
      <c r="F738" s="2" t="s">
        <v>26</v>
      </c>
      <c r="G738" s="2">
        <v>5</v>
      </c>
      <c r="H738" s="6">
        <v>99.99</v>
      </c>
      <c r="I738" s="4">
        <f t="shared" si="11"/>
        <v>499.95</v>
      </c>
      <c r="J738" s="2" t="s">
        <v>33</v>
      </c>
      <c r="K738" s="2" t="s">
        <v>28</v>
      </c>
      <c r="L738" s="2" t="s">
        <v>35</v>
      </c>
      <c r="M738" s="11" t="s">
        <v>697</v>
      </c>
    </row>
    <row r="739" spans="1:13" x14ac:dyDescent="0.25">
      <c r="A739" s="10">
        <v>1737</v>
      </c>
      <c r="B739" s="5" t="s">
        <v>697</v>
      </c>
      <c r="C739" s="2" t="s">
        <v>37</v>
      </c>
      <c r="D739" s="2" t="s">
        <v>169</v>
      </c>
      <c r="E739" s="2" t="s">
        <v>127</v>
      </c>
      <c r="F739" s="2" t="s">
        <v>73</v>
      </c>
      <c r="G739" s="2">
        <v>5</v>
      </c>
      <c r="H739" s="6">
        <v>29.99</v>
      </c>
      <c r="I739" s="4">
        <f t="shared" si="11"/>
        <v>149.94999999999999</v>
      </c>
      <c r="J739" s="2" t="s">
        <v>19</v>
      </c>
      <c r="K739" s="2" t="s">
        <v>55</v>
      </c>
      <c r="L739" s="2" t="s">
        <v>35</v>
      </c>
      <c r="M739" s="11" t="s">
        <v>697</v>
      </c>
    </row>
    <row r="740" spans="1:13" x14ac:dyDescent="0.25">
      <c r="A740" s="10">
        <v>1738</v>
      </c>
      <c r="B740" s="3">
        <v>45269</v>
      </c>
      <c r="C740" s="2" t="s">
        <v>42</v>
      </c>
      <c r="D740" s="2" t="s">
        <v>116</v>
      </c>
      <c r="E740" s="2" t="s">
        <v>52</v>
      </c>
      <c r="F740" s="2" t="s">
        <v>53</v>
      </c>
      <c r="G740" s="2">
        <v>4</v>
      </c>
      <c r="H740" s="6">
        <v>59.99</v>
      </c>
      <c r="I740" s="4">
        <f t="shared" si="11"/>
        <v>239.96</v>
      </c>
      <c r="J740" s="2" t="s">
        <v>27</v>
      </c>
      <c r="K740" s="2" t="s">
        <v>28</v>
      </c>
      <c r="L740" s="2" t="s">
        <v>29</v>
      </c>
      <c r="M740" s="11" t="s">
        <v>697</v>
      </c>
    </row>
    <row r="741" spans="1:13" x14ac:dyDescent="0.25">
      <c r="A741" s="10">
        <v>1739</v>
      </c>
      <c r="B741" s="3">
        <v>45039</v>
      </c>
      <c r="C741" s="2" t="s">
        <v>70</v>
      </c>
      <c r="D741" s="2" t="s">
        <v>71</v>
      </c>
      <c r="E741" s="2" t="s">
        <v>39</v>
      </c>
      <c r="F741" s="2" t="s">
        <v>17</v>
      </c>
      <c r="G741" s="2">
        <v>1</v>
      </c>
      <c r="H741" s="6">
        <v>39.99</v>
      </c>
      <c r="I741" s="4">
        <f t="shared" si="11"/>
        <v>39.99</v>
      </c>
      <c r="J741" s="2" t="s">
        <v>54</v>
      </c>
      <c r="K741" s="2" t="s">
        <v>129</v>
      </c>
      <c r="L741" s="2" t="s">
        <v>29</v>
      </c>
      <c r="M741" s="11" t="s">
        <v>697</v>
      </c>
    </row>
    <row r="742" spans="1:13" x14ac:dyDescent="0.25">
      <c r="A742" s="10">
        <v>1740</v>
      </c>
      <c r="B742" s="3">
        <v>45053</v>
      </c>
      <c r="C742" s="2" t="s">
        <v>77</v>
      </c>
      <c r="D742" s="2" t="s">
        <v>91</v>
      </c>
      <c r="E742" s="2" t="s">
        <v>82</v>
      </c>
      <c r="F742" s="2" t="s">
        <v>60</v>
      </c>
      <c r="G742" s="2">
        <v>3</v>
      </c>
      <c r="H742" s="6">
        <v>4.99</v>
      </c>
      <c r="I742" s="4">
        <f t="shared" si="11"/>
        <v>14.97</v>
      </c>
      <c r="J742" s="2" t="s">
        <v>54</v>
      </c>
      <c r="K742" s="2" t="s">
        <v>28</v>
      </c>
      <c r="L742" s="2" t="s">
        <v>35</v>
      </c>
      <c r="M742" s="11" t="s">
        <v>697</v>
      </c>
    </row>
    <row r="743" spans="1:13" x14ac:dyDescent="0.25">
      <c r="A743" s="10">
        <v>1741</v>
      </c>
      <c r="B743" s="3">
        <v>45174</v>
      </c>
      <c r="C743" s="2" t="s">
        <v>77</v>
      </c>
      <c r="D743" s="2" t="s">
        <v>91</v>
      </c>
      <c r="E743" s="2" t="s">
        <v>39</v>
      </c>
      <c r="F743" s="2" t="s">
        <v>17</v>
      </c>
      <c r="G743" s="4" t="s">
        <v>697</v>
      </c>
      <c r="H743" s="6">
        <v>39.99</v>
      </c>
      <c r="I743" s="4" t="str">
        <f t="shared" si="11"/>
        <v>N/A</v>
      </c>
      <c r="J743" s="2" t="s">
        <v>19</v>
      </c>
      <c r="K743" s="2" t="s">
        <v>28</v>
      </c>
      <c r="L743" s="2" t="s">
        <v>29</v>
      </c>
      <c r="M743" s="11" t="s">
        <v>697</v>
      </c>
    </row>
    <row r="744" spans="1:13" x14ac:dyDescent="0.25">
      <c r="A744" s="10">
        <v>1742</v>
      </c>
      <c r="B744" s="3">
        <v>45264</v>
      </c>
      <c r="C744" s="2" t="s">
        <v>70</v>
      </c>
      <c r="D744" s="2" t="s">
        <v>88</v>
      </c>
      <c r="E744" s="2" t="s">
        <v>92</v>
      </c>
      <c r="F744" s="2" t="s">
        <v>26</v>
      </c>
      <c r="G744" s="2">
        <v>1</v>
      </c>
      <c r="H744" s="6">
        <v>14.99</v>
      </c>
      <c r="I744" s="4">
        <f t="shared" si="11"/>
        <v>14.99</v>
      </c>
      <c r="J744" s="2" t="s">
        <v>54</v>
      </c>
      <c r="K744" s="2" t="s">
        <v>28</v>
      </c>
      <c r="L744" s="2" t="s">
        <v>35</v>
      </c>
      <c r="M744" s="11" t="s">
        <v>697</v>
      </c>
    </row>
    <row r="745" spans="1:13" x14ac:dyDescent="0.25">
      <c r="A745" s="10">
        <v>1743</v>
      </c>
      <c r="B745" s="5" t="s">
        <v>697</v>
      </c>
      <c r="C745" s="2" t="s">
        <v>70</v>
      </c>
      <c r="D745" s="2" t="s">
        <v>88</v>
      </c>
      <c r="E745" s="2" t="s">
        <v>44</v>
      </c>
      <c r="F745" s="2" t="s">
        <v>17</v>
      </c>
      <c r="G745" s="2">
        <v>3</v>
      </c>
      <c r="H745" s="6">
        <v>15.99</v>
      </c>
      <c r="I745" s="4">
        <f t="shared" si="11"/>
        <v>47.97</v>
      </c>
      <c r="J745" s="2" t="s">
        <v>33</v>
      </c>
      <c r="K745" s="2" t="s">
        <v>55</v>
      </c>
      <c r="L745" s="2" t="s">
        <v>35</v>
      </c>
      <c r="M745" s="11" t="s">
        <v>697</v>
      </c>
    </row>
    <row r="746" spans="1:13" x14ac:dyDescent="0.25">
      <c r="A746" s="10">
        <v>1744</v>
      </c>
      <c r="B746" s="3">
        <v>45142</v>
      </c>
      <c r="C746" s="2" t="s">
        <v>77</v>
      </c>
      <c r="D746" s="2" t="s">
        <v>78</v>
      </c>
      <c r="E746" s="2" t="s">
        <v>92</v>
      </c>
      <c r="F746" s="2" t="s">
        <v>26</v>
      </c>
      <c r="G746" s="2">
        <v>1</v>
      </c>
      <c r="H746" s="6">
        <v>14.99</v>
      </c>
      <c r="I746" s="4">
        <f t="shared" si="11"/>
        <v>14.99</v>
      </c>
      <c r="J746" s="2" t="s">
        <v>27</v>
      </c>
      <c r="K746" s="2" t="s">
        <v>55</v>
      </c>
      <c r="L746" s="2" t="s">
        <v>35</v>
      </c>
      <c r="M746" s="11" t="s">
        <v>697</v>
      </c>
    </row>
    <row r="747" spans="1:13" x14ac:dyDescent="0.25">
      <c r="A747" s="10">
        <v>1745</v>
      </c>
      <c r="B747" s="3">
        <v>44968</v>
      </c>
      <c r="C747" s="2" t="s">
        <v>37</v>
      </c>
      <c r="D747" s="2" t="s">
        <v>38</v>
      </c>
      <c r="E747" s="2" t="s">
        <v>44</v>
      </c>
      <c r="F747" s="2" t="s">
        <v>17</v>
      </c>
      <c r="G747" s="4" t="s">
        <v>697</v>
      </c>
      <c r="H747" s="6">
        <v>15.99</v>
      </c>
      <c r="I747" s="4" t="str">
        <f t="shared" si="11"/>
        <v>N/A</v>
      </c>
      <c r="J747" s="2" t="s">
        <v>54</v>
      </c>
      <c r="K747" s="2" t="s">
        <v>34</v>
      </c>
      <c r="L747" s="2" t="s">
        <v>35</v>
      </c>
      <c r="M747" s="11" t="s">
        <v>697</v>
      </c>
    </row>
    <row r="748" spans="1:13" x14ac:dyDescent="0.25">
      <c r="A748" s="10">
        <v>1746</v>
      </c>
      <c r="B748" s="3">
        <v>45071</v>
      </c>
      <c r="C748" s="2" t="s">
        <v>42</v>
      </c>
      <c r="D748" s="2" t="s">
        <v>43</v>
      </c>
      <c r="E748" s="2" t="s">
        <v>39</v>
      </c>
      <c r="F748" s="2" t="s">
        <v>17</v>
      </c>
      <c r="G748" s="2">
        <v>4</v>
      </c>
      <c r="H748" s="6">
        <v>39.99</v>
      </c>
      <c r="I748" s="4">
        <f t="shared" si="11"/>
        <v>159.96</v>
      </c>
      <c r="J748" s="2" t="s">
        <v>33</v>
      </c>
      <c r="K748" s="2" t="s">
        <v>28</v>
      </c>
      <c r="L748" s="2" t="s">
        <v>40</v>
      </c>
      <c r="M748" s="11" t="s">
        <v>697</v>
      </c>
    </row>
    <row r="749" spans="1:13" x14ac:dyDescent="0.25">
      <c r="A749" s="10">
        <v>1747</v>
      </c>
      <c r="B749" s="3">
        <v>45203</v>
      </c>
      <c r="C749" s="2" t="s">
        <v>42</v>
      </c>
      <c r="D749" s="2" t="s">
        <v>48</v>
      </c>
      <c r="E749" s="2" t="s">
        <v>85</v>
      </c>
      <c r="F749" s="2" t="s">
        <v>26</v>
      </c>
      <c r="G749" s="4" t="s">
        <v>697</v>
      </c>
      <c r="H749" s="6">
        <v>99.99</v>
      </c>
      <c r="I749" s="4" t="str">
        <f t="shared" si="11"/>
        <v>N/A</v>
      </c>
      <c r="J749" s="2" t="s">
        <v>33</v>
      </c>
      <c r="K749" s="2" t="s">
        <v>28</v>
      </c>
      <c r="L749" s="2" t="s">
        <v>29</v>
      </c>
      <c r="M749" s="11" t="s">
        <v>697</v>
      </c>
    </row>
    <row r="750" spans="1:13" x14ac:dyDescent="0.25">
      <c r="A750" s="10">
        <v>1748</v>
      </c>
      <c r="B750" s="3">
        <v>45365</v>
      </c>
      <c r="C750" s="2" t="s">
        <v>23</v>
      </c>
      <c r="D750" s="2" t="s">
        <v>24</v>
      </c>
      <c r="E750" s="2" t="s">
        <v>85</v>
      </c>
      <c r="F750" s="2" t="s">
        <v>26</v>
      </c>
      <c r="G750" s="2">
        <v>5</v>
      </c>
      <c r="H750" s="6">
        <v>99.99</v>
      </c>
      <c r="I750" s="4">
        <f t="shared" si="11"/>
        <v>499.95</v>
      </c>
      <c r="J750" s="2" t="s">
        <v>33</v>
      </c>
      <c r="K750" s="2" t="s">
        <v>28</v>
      </c>
      <c r="L750" s="2" t="s">
        <v>35</v>
      </c>
      <c r="M750" s="11" t="s">
        <v>697</v>
      </c>
    </row>
    <row r="751" spans="1:13" x14ac:dyDescent="0.25">
      <c r="A751" s="10">
        <v>1749</v>
      </c>
      <c r="B751" s="3">
        <v>45276</v>
      </c>
      <c r="C751" s="2" t="s">
        <v>23</v>
      </c>
      <c r="D751" s="2" t="s">
        <v>24</v>
      </c>
      <c r="E751" s="2" t="s">
        <v>39</v>
      </c>
      <c r="F751" s="2" t="s">
        <v>17</v>
      </c>
      <c r="G751" s="2">
        <v>4</v>
      </c>
      <c r="H751" s="6">
        <v>39.99</v>
      </c>
      <c r="I751" s="4">
        <f t="shared" si="11"/>
        <v>159.96</v>
      </c>
      <c r="J751" s="2" t="s">
        <v>54</v>
      </c>
      <c r="K751" s="2" t="s">
        <v>34</v>
      </c>
      <c r="L751" s="2" t="s">
        <v>35</v>
      </c>
      <c r="M751" s="11" t="s">
        <v>697</v>
      </c>
    </row>
    <row r="752" spans="1:13" x14ac:dyDescent="0.25">
      <c r="A752" s="10">
        <v>1750</v>
      </c>
      <c r="B752" s="3">
        <v>44955</v>
      </c>
      <c r="C752" s="2" t="s">
        <v>23</v>
      </c>
      <c r="D752" s="2" t="s">
        <v>81</v>
      </c>
      <c r="E752" s="2" t="s">
        <v>44</v>
      </c>
      <c r="F752" s="2" t="s">
        <v>17</v>
      </c>
      <c r="G752" s="4" t="s">
        <v>697</v>
      </c>
      <c r="H752" s="6">
        <v>15.99</v>
      </c>
      <c r="I752" s="4" t="str">
        <f t="shared" si="11"/>
        <v>N/A</v>
      </c>
      <c r="J752" s="2" t="s">
        <v>27</v>
      </c>
      <c r="K752" s="2" t="s">
        <v>45</v>
      </c>
      <c r="L752" s="2" t="s">
        <v>35</v>
      </c>
      <c r="M752" s="11" t="s">
        <v>697</v>
      </c>
    </row>
    <row r="753" spans="1:13" x14ac:dyDescent="0.25">
      <c r="A753" s="10">
        <v>1751</v>
      </c>
      <c r="B753" s="3">
        <v>45426</v>
      </c>
      <c r="C753" s="2" t="s">
        <v>37</v>
      </c>
      <c r="D753" s="2" t="s">
        <v>162</v>
      </c>
      <c r="E753" s="2" t="s">
        <v>52</v>
      </c>
      <c r="F753" s="2" t="s">
        <v>53</v>
      </c>
      <c r="G753" s="2">
        <v>1</v>
      </c>
      <c r="H753" s="6">
        <v>59.99</v>
      </c>
      <c r="I753" s="4">
        <f t="shared" si="11"/>
        <v>59.99</v>
      </c>
      <c r="J753" s="2" t="s">
        <v>33</v>
      </c>
      <c r="K753" s="2" t="s">
        <v>55</v>
      </c>
      <c r="L753" s="2" t="s">
        <v>35</v>
      </c>
      <c r="M753" s="11" t="s">
        <v>697</v>
      </c>
    </row>
    <row r="754" spans="1:13" x14ac:dyDescent="0.25">
      <c r="A754" s="10">
        <v>1752</v>
      </c>
      <c r="B754" s="5" t="s">
        <v>697</v>
      </c>
      <c r="C754" s="2" t="s">
        <v>70</v>
      </c>
      <c r="D754" s="2" t="s">
        <v>131</v>
      </c>
      <c r="E754" s="2" t="s">
        <v>92</v>
      </c>
      <c r="F754" s="2" t="s">
        <v>26</v>
      </c>
      <c r="G754" s="2">
        <v>2</v>
      </c>
      <c r="H754" s="6">
        <v>14.99</v>
      </c>
      <c r="I754" s="4">
        <f t="shared" si="11"/>
        <v>29.98</v>
      </c>
      <c r="J754" s="2" t="s">
        <v>54</v>
      </c>
      <c r="K754" s="2" t="s">
        <v>55</v>
      </c>
      <c r="L754" s="2" t="s">
        <v>35</v>
      </c>
      <c r="M754" s="11" t="s">
        <v>697</v>
      </c>
    </row>
    <row r="755" spans="1:13" x14ac:dyDescent="0.25">
      <c r="A755" s="10">
        <v>1753</v>
      </c>
      <c r="B755" s="3">
        <v>45275</v>
      </c>
      <c r="C755" s="2" t="s">
        <v>23</v>
      </c>
      <c r="D755" s="2" t="s">
        <v>81</v>
      </c>
      <c r="E755" s="2" t="s">
        <v>39</v>
      </c>
      <c r="F755" s="2" t="s">
        <v>17</v>
      </c>
      <c r="G755" s="4" t="s">
        <v>697</v>
      </c>
      <c r="H755" s="6">
        <v>39.99</v>
      </c>
      <c r="I755" s="4" t="str">
        <f t="shared" si="11"/>
        <v>N/A</v>
      </c>
      <c r="J755" s="2" t="s">
        <v>33</v>
      </c>
      <c r="K755" s="2" t="s">
        <v>45</v>
      </c>
      <c r="L755" s="2" t="s">
        <v>29</v>
      </c>
      <c r="M755" s="11" t="s">
        <v>697</v>
      </c>
    </row>
    <row r="756" spans="1:13" x14ac:dyDescent="0.25">
      <c r="A756" s="10">
        <v>1754</v>
      </c>
      <c r="B756" s="5" t="s">
        <v>697</v>
      </c>
      <c r="C756" s="2" t="s">
        <v>77</v>
      </c>
      <c r="D756" s="2" t="s">
        <v>78</v>
      </c>
      <c r="E756" s="2" t="s">
        <v>44</v>
      </c>
      <c r="F756" s="2" t="s">
        <v>17</v>
      </c>
      <c r="G756" s="4" t="s">
        <v>697</v>
      </c>
      <c r="H756" s="6">
        <v>15.99</v>
      </c>
      <c r="I756" s="4" t="str">
        <f t="shared" si="11"/>
        <v>N/A</v>
      </c>
      <c r="J756" s="2" t="s">
        <v>33</v>
      </c>
      <c r="K756" s="2" t="s">
        <v>55</v>
      </c>
      <c r="L756" s="2" t="s">
        <v>35</v>
      </c>
      <c r="M756" s="11" t="s">
        <v>697</v>
      </c>
    </row>
    <row r="757" spans="1:13" x14ac:dyDescent="0.25">
      <c r="A757" s="10">
        <v>1755</v>
      </c>
      <c r="B757" s="5" t="s">
        <v>697</v>
      </c>
      <c r="C757" s="2" t="s">
        <v>23</v>
      </c>
      <c r="D757" s="2" t="s">
        <v>24</v>
      </c>
      <c r="E757" s="2" t="s">
        <v>52</v>
      </c>
      <c r="F757" s="2" t="s">
        <v>53</v>
      </c>
      <c r="G757" s="4" t="s">
        <v>697</v>
      </c>
      <c r="H757" s="6">
        <v>59.99</v>
      </c>
      <c r="I757" s="4" t="str">
        <f t="shared" si="11"/>
        <v>N/A</v>
      </c>
      <c r="J757" s="2" t="s">
        <v>33</v>
      </c>
      <c r="K757" s="2" t="s">
        <v>45</v>
      </c>
      <c r="L757" s="2" t="s">
        <v>40</v>
      </c>
      <c r="M757" s="11" t="s">
        <v>697</v>
      </c>
    </row>
    <row r="758" spans="1:13" x14ac:dyDescent="0.25">
      <c r="A758" s="10">
        <v>1756</v>
      </c>
      <c r="B758" s="3">
        <v>44935</v>
      </c>
      <c r="C758" s="2" t="s">
        <v>42</v>
      </c>
      <c r="D758" s="2" t="s">
        <v>116</v>
      </c>
      <c r="E758" s="2" t="s">
        <v>92</v>
      </c>
      <c r="F758" s="2" t="s">
        <v>26</v>
      </c>
      <c r="G758" s="2">
        <v>2</v>
      </c>
      <c r="H758" s="6">
        <v>14.99</v>
      </c>
      <c r="I758" s="4">
        <f t="shared" si="11"/>
        <v>29.98</v>
      </c>
      <c r="J758" s="2" t="s">
        <v>33</v>
      </c>
      <c r="K758" s="2" t="s">
        <v>129</v>
      </c>
      <c r="L758" s="2" t="s">
        <v>40</v>
      </c>
      <c r="M758" s="11" t="s">
        <v>697</v>
      </c>
    </row>
    <row r="759" spans="1:13" x14ac:dyDescent="0.25">
      <c r="A759" s="10">
        <v>1757</v>
      </c>
      <c r="B759" s="3">
        <v>45073</v>
      </c>
      <c r="C759" s="2" t="s">
        <v>65</v>
      </c>
      <c r="D759" s="2" t="s">
        <v>126</v>
      </c>
      <c r="E759" s="2" t="s">
        <v>52</v>
      </c>
      <c r="F759" s="2" t="s">
        <v>53</v>
      </c>
      <c r="G759" s="2">
        <v>4</v>
      </c>
      <c r="H759" s="6">
        <v>59.99</v>
      </c>
      <c r="I759" s="4">
        <f t="shared" si="11"/>
        <v>239.96</v>
      </c>
      <c r="J759" s="2" t="s">
        <v>54</v>
      </c>
      <c r="K759" s="2" t="s">
        <v>45</v>
      </c>
      <c r="L759" s="2" t="s">
        <v>35</v>
      </c>
      <c r="M759" s="11" t="s">
        <v>697</v>
      </c>
    </row>
    <row r="760" spans="1:13" x14ac:dyDescent="0.25">
      <c r="A760" s="10">
        <v>1758</v>
      </c>
      <c r="B760" s="3">
        <v>45069</v>
      </c>
      <c r="C760" s="2" t="s">
        <v>70</v>
      </c>
      <c r="D760" s="2" t="s">
        <v>71</v>
      </c>
      <c r="E760" s="2" t="s">
        <v>127</v>
      </c>
      <c r="F760" s="2" t="s">
        <v>73</v>
      </c>
      <c r="G760" s="2">
        <v>4</v>
      </c>
      <c r="H760" s="6">
        <v>29.99</v>
      </c>
      <c r="I760" s="4">
        <f t="shared" si="11"/>
        <v>119.96</v>
      </c>
      <c r="J760" s="2" t="s">
        <v>33</v>
      </c>
      <c r="K760" s="2" t="s">
        <v>129</v>
      </c>
      <c r="L760" s="2" t="s">
        <v>35</v>
      </c>
      <c r="M760" s="11" t="s">
        <v>697</v>
      </c>
    </row>
    <row r="761" spans="1:13" x14ac:dyDescent="0.25">
      <c r="A761" s="10">
        <v>1759</v>
      </c>
      <c r="B761" s="5" t="s">
        <v>697</v>
      </c>
      <c r="C761" s="2" t="s">
        <v>70</v>
      </c>
      <c r="D761" s="2" t="s">
        <v>71</v>
      </c>
      <c r="E761" s="2" t="s">
        <v>92</v>
      </c>
      <c r="F761" s="2" t="s">
        <v>26</v>
      </c>
      <c r="G761" s="2">
        <v>2</v>
      </c>
      <c r="H761" s="6">
        <v>14.99</v>
      </c>
      <c r="I761" s="4">
        <f t="shared" si="11"/>
        <v>29.98</v>
      </c>
      <c r="J761" s="2" t="s">
        <v>19</v>
      </c>
      <c r="K761" s="2" t="s">
        <v>28</v>
      </c>
      <c r="L761" s="2" t="s">
        <v>35</v>
      </c>
      <c r="M761" s="11" t="s">
        <v>697</v>
      </c>
    </row>
    <row r="762" spans="1:13" x14ac:dyDescent="0.25">
      <c r="A762" s="10">
        <v>1760</v>
      </c>
      <c r="B762" s="3">
        <v>45286</v>
      </c>
      <c r="C762" s="2" t="s">
        <v>77</v>
      </c>
      <c r="D762" s="2" t="s">
        <v>91</v>
      </c>
      <c r="E762" s="2" t="s">
        <v>39</v>
      </c>
      <c r="F762" s="2" t="s">
        <v>17</v>
      </c>
      <c r="G762" s="4" t="s">
        <v>697</v>
      </c>
      <c r="H762" s="6">
        <v>39.99</v>
      </c>
      <c r="I762" s="4" t="str">
        <f t="shared" si="11"/>
        <v>N/A</v>
      </c>
      <c r="J762" s="2" t="s">
        <v>33</v>
      </c>
      <c r="K762" s="2" t="s">
        <v>28</v>
      </c>
      <c r="L762" s="2" t="s">
        <v>35</v>
      </c>
      <c r="M762" s="11" t="s">
        <v>697</v>
      </c>
    </row>
    <row r="763" spans="1:13" x14ac:dyDescent="0.25">
      <c r="A763" s="10">
        <v>1761</v>
      </c>
      <c r="B763" s="5" t="s">
        <v>697</v>
      </c>
      <c r="C763" s="2" t="s">
        <v>23</v>
      </c>
      <c r="D763" s="2" t="s">
        <v>124</v>
      </c>
      <c r="E763" s="2" t="s">
        <v>92</v>
      </c>
      <c r="F763" s="2" t="s">
        <v>26</v>
      </c>
      <c r="G763" s="2">
        <v>2</v>
      </c>
      <c r="H763" s="6">
        <v>14.99</v>
      </c>
      <c r="I763" s="4">
        <f t="shared" si="11"/>
        <v>29.98</v>
      </c>
      <c r="J763" s="2" t="s">
        <v>33</v>
      </c>
      <c r="K763" s="2" t="s">
        <v>129</v>
      </c>
      <c r="L763" s="2" t="s">
        <v>35</v>
      </c>
      <c r="M763" s="11" t="s">
        <v>697</v>
      </c>
    </row>
    <row r="764" spans="1:13" x14ac:dyDescent="0.25">
      <c r="A764" s="10">
        <v>1762</v>
      </c>
      <c r="B764" s="3">
        <v>45019</v>
      </c>
      <c r="C764" s="2" t="s">
        <v>70</v>
      </c>
      <c r="D764" s="4" t="s">
        <v>697</v>
      </c>
      <c r="E764" s="2" t="s">
        <v>72</v>
      </c>
      <c r="F764" s="2" t="s">
        <v>73</v>
      </c>
      <c r="G764" s="2">
        <v>5</v>
      </c>
      <c r="H764" s="6">
        <v>49.99</v>
      </c>
      <c r="I764" s="4">
        <f t="shared" si="11"/>
        <v>249.95000000000002</v>
      </c>
      <c r="J764" s="2" t="s">
        <v>33</v>
      </c>
      <c r="K764" s="2" t="s">
        <v>55</v>
      </c>
      <c r="L764" s="2" t="s">
        <v>35</v>
      </c>
      <c r="M764" s="11" t="s">
        <v>697</v>
      </c>
    </row>
    <row r="765" spans="1:13" x14ac:dyDescent="0.25">
      <c r="A765" s="10">
        <v>1763</v>
      </c>
      <c r="B765" s="5" t="s">
        <v>697</v>
      </c>
      <c r="C765" s="2" t="s">
        <v>14</v>
      </c>
      <c r="D765" s="2" t="s">
        <v>15</v>
      </c>
      <c r="E765" s="2" t="s">
        <v>31</v>
      </c>
      <c r="F765" s="2" t="s">
        <v>32</v>
      </c>
      <c r="G765" s="2">
        <v>1</v>
      </c>
      <c r="H765" s="6">
        <v>79.989999999999995</v>
      </c>
      <c r="I765" s="4">
        <f t="shared" si="11"/>
        <v>79.989999999999995</v>
      </c>
      <c r="J765" s="2" t="s">
        <v>27</v>
      </c>
      <c r="K765" s="2" t="s">
        <v>129</v>
      </c>
      <c r="L765" s="2" t="s">
        <v>35</v>
      </c>
      <c r="M765" s="11" t="s">
        <v>697</v>
      </c>
    </row>
    <row r="766" spans="1:13" x14ac:dyDescent="0.25">
      <c r="A766" s="10">
        <v>1764</v>
      </c>
      <c r="B766" s="5" t="s">
        <v>697</v>
      </c>
      <c r="C766" s="2" t="s">
        <v>65</v>
      </c>
      <c r="D766" s="2" t="s">
        <v>123</v>
      </c>
      <c r="E766" s="2" t="s">
        <v>92</v>
      </c>
      <c r="F766" s="2" t="s">
        <v>26</v>
      </c>
      <c r="G766" s="2">
        <v>2</v>
      </c>
      <c r="H766" s="6">
        <v>14.99</v>
      </c>
      <c r="I766" s="4">
        <f t="shared" si="11"/>
        <v>29.98</v>
      </c>
      <c r="J766" s="2" t="s">
        <v>33</v>
      </c>
      <c r="K766" s="2" t="s">
        <v>55</v>
      </c>
      <c r="L766" s="2" t="s">
        <v>29</v>
      </c>
      <c r="M766" s="11" t="s">
        <v>697</v>
      </c>
    </row>
    <row r="767" spans="1:13" x14ac:dyDescent="0.25">
      <c r="A767" s="10">
        <v>1765</v>
      </c>
      <c r="B767" s="5" t="s">
        <v>697</v>
      </c>
      <c r="C767" s="2" t="s">
        <v>42</v>
      </c>
      <c r="D767" s="2" t="s">
        <v>48</v>
      </c>
      <c r="E767" s="2" t="s">
        <v>72</v>
      </c>
      <c r="F767" s="2" t="s">
        <v>73</v>
      </c>
      <c r="G767" s="2">
        <v>1</v>
      </c>
      <c r="H767" s="6">
        <v>49.99</v>
      </c>
      <c r="I767" s="4">
        <f t="shared" si="11"/>
        <v>49.99</v>
      </c>
      <c r="J767" s="2" t="s">
        <v>33</v>
      </c>
      <c r="K767" s="2" t="s">
        <v>45</v>
      </c>
      <c r="L767" s="2" t="s">
        <v>35</v>
      </c>
      <c r="M767" s="11" t="s">
        <v>697</v>
      </c>
    </row>
    <row r="768" spans="1:13" x14ac:dyDescent="0.25">
      <c r="A768" s="10">
        <v>1766</v>
      </c>
      <c r="B768" s="3">
        <v>45330</v>
      </c>
      <c r="C768" s="2" t="s">
        <v>23</v>
      </c>
      <c r="D768" s="2" t="s">
        <v>81</v>
      </c>
      <c r="E768" s="2" t="s">
        <v>72</v>
      </c>
      <c r="F768" s="2" t="s">
        <v>73</v>
      </c>
      <c r="G768" s="2">
        <v>1</v>
      </c>
      <c r="H768" s="6">
        <v>49.99</v>
      </c>
      <c r="I768" s="4">
        <f t="shared" si="11"/>
        <v>49.99</v>
      </c>
      <c r="J768" s="2" t="s">
        <v>27</v>
      </c>
      <c r="K768" s="2" t="s">
        <v>34</v>
      </c>
      <c r="L768" s="2" t="s">
        <v>40</v>
      </c>
      <c r="M768" s="11" t="s">
        <v>697</v>
      </c>
    </row>
    <row r="769" spans="1:13" x14ac:dyDescent="0.25">
      <c r="A769" s="10">
        <v>1767</v>
      </c>
      <c r="B769" s="3">
        <v>45353</v>
      </c>
      <c r="C769" s="2" t="s">
        <v>697</v>
      </c>
      <c r="D769" s="2" t="s">
        <v>71</v>
      </c>
      <c r="E769" s="2" t="s">
        <v>72</v>
      </c>
      <c r="F769" s="2" t="s">
        <v>73</v>
      </c>
      <c r="G769" s="2">
        <v>1</v>
      </c>
      <c r="H769" s="6">
        <v>49.99</v>
      </c>
      <c r="I769" s="4">
        <f t="shared" si="11"/>
        <v>49.99</v>
      </c>
      <c r="J769" s="2" t="s">
        <v>54</v>
      </c>
      <c r="K769" s="2" t="s">
        <v>45</v>
      </c>
      <c r="L769" s="2" t="s">
        <v>35</v>
      </c>
      <c r="M769" s="11" t="s">
        <v>697</v>
      </c>
    </row>
    <row r="770" spans="1:13" x14ac:dyDescent="0.25">
      <c r="A770" s="10">
        <v>1768</v>
      </c>
      <c r="B770" s="3">
        <v>45167</v>
      </c>
      <c r="C770" s="2" t="s">
        <v>77</v>
      </c>
      <c r="D770" s="2" t="s">
        <v>78</v>
      </c>
      <c r="E770" s="2" t="s">
        <v>44</v>
      </c>
      <c r="F770" s="2" t="s">
        <v>17</v>
      </c>
      <c r="G770" s="2">
        <v>2</v>
      </c>
      <c r="H770" s="6">
        <v>15.99</v>
      </c>
      <c r="I770" s="4">
        <f t="shared" si="11"/>
        <v>31.98</v>
      </c>
      <c r="J770" s="2" t="s">
        <v>19</v>
      </c>
      <c r="K770" s="2" t="s">
        <v>28</v>
      </c>
      <c r="L770" s="2" t="s">
        <v>35</v>
      </c>
      <c r="M770" s="11" t="s">
        <v>697</v>
      </c>
    </row>
    <row r="771" spans="1:13" x14ac:dyDescent="0.25">
      <c r="A771" s="10">
        <v>1769</v>
      </c>
      <c r="B771" s="5" t="s">
        <v>697</v>
      </c>
      <c r="C771" s="2" t="s">
        <v>70</v>
      </c>
      <c r="D771" s="2" t="s">
        <v>71</v>
      </c>
      <c r="E771" s="2" t="s">
        <v>72</v>
      </c>
      <c r="F771" s="2" t="s">
        <v>73</v>
      </c>
      <c r="G771" s="4" t="s">
        <v>697</v>
      </c>
      <c r="H771" s="6">
        <v>49.99</v>
      </c>
      <c r="I771" s="4" t="str">
        <f t="shared" ref="I771:I834" si="12">IF(G771="N/A","N/A",PRODUCT(G771,H771))</f>
        <v>N/A</v>
      </c>
      <c r="J771" s="2" t="s">
        <v>27</v>
      </c>
      <c r="K771" s="2" t="s">
        <v>129</v>
      </c>
      <c r="L771" s="2" t="s">
        <v>35</v>
      </c>
      <c r="M771" s="11" t="s">
        <v>697</v>
      </c>
    </row>
    <row r="772" spans="1:13" x14ac:dyDescent="0.25">
      <c r="A772" s="10">
        <v>1770</v>
      </c>
      <c r="B772" s="3">
        <v>45390</v>
      </c>
      <c r="C772" s="2" t="s">
        <v>70</v>
      </c>
      <c r="D772" s="2" t="s">
        <v>71</v>
      </c>
      <c r="E772" s="2" t="s">
        <v>85</v>
      </c>
      <c r="F772" s="2" t="s">
        <v>26</v>
      </c>
      <c r="G772" s="2">
        <v>2</v>
      </c>
      <c r="H772" s="6">
        <v>99.99</v>
      </c>
      <c r="I772" s="4">
        <f t="shared" si="12"/>
        <v>199.98</v>
      </c>
      <c r="J772" s="2" t="s">
        <v>33</v>
      </c>
      <c r="K772" s="2" t="s">
        <v>34</v>
      </c>
      <c r="L772" s="2" t="s">
        <v>35</v>
      </c>
      <c r="M772" s="11" t="s">
        <v>697</v>
      </c>
    </row>
    <row r="773" spans="1:13" x14ac:dyDescent="0.25">
      <c r="A773" s="10">
        <v>1771</v>
      </c>
      <c r="B773" s="3">
        <v>45417</v>
      </c>
      <c r="C773" s="2" t="s">
        <v>14</v>
      </c>
      <c r="D773" s="2" t="s">
        <v>15</v>
      </c>
      <c r="E773" s="2" t="s">
        <v>127</v>
      </c>
      <c r="F773" s="2" t="s">
        <v>73</v>
      </c>
      <c r="G773" s="2">
        <v>3</v>
      </c>
      <c r="H773" s="6">
        <v>29.99</v>
      </c>
      <c r="I773" s="4">
        <f t="shared" si="12"/>
        <v>89.97</v>
      </c>
      <c r="J773" s="2" t="s">
        <v>19</v>
      </c>
      <c r="K773" s="2" t="s">
        <v>45</v>
      </c>
      <c r="L773" s="2" t="s">
        <v>40</v>
      </c>
      <c r="M773" s="11" t="s">
        <v>697</v>
      </c>
    </row>
    <row r="774" spans="1:13" x14ac:dyDescent="0.25">
      <c r="A774" s="10">
        <v>1772</v>
      </c>
      <c r="B774" s="3">
        <v>45065</v>
      </c>
      <c r="C774" s="2" t="s">
        <v>70</v>
      </c>
      <c r="D774" s="2" t="s">
        <v>88</v>
      </c>
      <c r="E774" s="2" t="s">
        <v>72</v>
      </c>
      <c r="F774" s="2" t="s">
        <v>73</v>
      </c>
      <c r="G774" s="2">
        <v>4</v>
      </c>
      <c r="H774" s="6">
        <v>49.99</v>
      </c>
      <c r="I774" s="4">
        <f t="shared" si="12"/>
        <v>199.96</v>
      </c>
      <c r="J774" s="2" t="s">
        <v>19</v>
      </c>
      <c r="K774" s="2" t="s">
        <v>28</v>
      </c>
      <c r="L774" s="2" t="s">
        <v>35</v>
      </c>
      <c r="M774" s="11" t="s">
        <v>697</v>
      </c>
    </row>
    <row r="775" spans="1:13" x14ac:dyDescent="0.25">
      <c r="A775" s="10">
        <v>1773</v>
      </c>
      <c r="B775" s="3">
        <v>45237</v>
      </c>
      <c r="C775" s="2" t="s">
        <v>697</v>
      </c>
      <c r="D775" s="2" t="s">
        <v>88</v>
      </c>
      <c r="E775" s="2" t="s">
        <v>52</v>
      </c>
      <c r="F775" s="2" t="s">
        <v>53</v>
      </c>
      <c r="G775" s="2">
        <v>1</v>
      </c>
      <c r="H775" s="6">
        <v>59.99</v>
      </c>
      <c r="I775" s="4">
        <f t="shared" si="12"/>
        <v>59.99</v>
      </c>
      <c r="J775" s="2" t="s">
        <v>27</v>
      </c>
      <c r="K775" s="2" t="s">
        <v>28</v>
      </c>
      <c r="L775" s="2" t="s">
        <v>40</v>
      </c>
      <c r="M775" s="11" t="s">
        <v>697</v>
      </c>
    </row>
    <row r="776" spans="1:13" x14ac:dyDescent="0.25">
      <c r="A776" s="10">
        <v>1774</v>
      </c>
      <c r="B776" s="5" t="s">
        <v>697</v>
      </c>
      <c r="C776" s="2" t="s">
        <v>70</v>
      </c>
      <c r="D776" s="2" t="s">
        <v>131</v>
      </c>
      <c r="E776" s="2" t="s">
        <v>31</v>
      </c>
      <c r="F776" s="2" t="s">
        <v>32</v>
      </c>
      <c r="G776" s="2">
        <v>1</v>
      </c>
      <c r="H776" s="6">
        <v>79.989999999999995</v>
      </c>
      <c r="I776" s="4">
        <f t="shared" si="12"/>
        <v>79.989999999999995</v>
      </c>
      <c r="J776" s="2" t="s">
        <v>33</v>
      </c>
      <c r="K776" s="2" t="s">
        <v>45</v>
      </c>
      <c r="L776" s="2" t="s">
        <v>35</v>
      </c>
      <c r="M776" s="11" t="s">
        <v>697</v>
      </c>
    </row>
    <row r="777" spans="1:13" x14ac:dyDescent="0.25">
      <c r="A777" s="10">
        <v>1775</v>
      </c>
      <c r="B777" s="3">
        <v>45340</v>
      </c>
      <c r="C777" s="2" t="s">
        <v>14</v>
      </c>
      <c r="D777" s="2" t="s">
        <v>75</v>
      </c>
      <c r="E777" s="2" t="s">
        <v>127</v>
      </c>
      <c r="F777" s="2" t="s">
        <v>73</v>
      </c>
      <c r="G777" s="2">
        <v>2</v>
      </c>
      <c r="H777" s="6">
        <v>29.99</v>
      </c>
      <c r="I777" s="4">
        <f t="shared" si="12"/>
        <v>59.98</v>
      </c>
      <c r="J777" s="2" t="s">
        <v>33</v>
      </c>
      <c r="K777" s="2" t="s">
        <v>55</v>
      </c>
      <c r="L777" s="2" t="s">
        <v>29</v>
      </c>
      <c r="M777" s="11" t="s">
        <v>697</v>
      </c>
    </row>
    <row r="778" spans="1:13" x14ac:dyDescent="0.25">
      <c r="A778" s="10">
        <v>1776</v>
      </c>
      <c r="B778" s="3">
        <v>45378</v>
      </c>
      <c r="C778" s="2" t="s">
        <v>77</v>
      </c>
      <c r="D778" s="4" t="s">
        <v>697</v>
      </c>
      <c r="E778" s="2" t="s">
        <v>31</v>
      </c>
      <c r="F778" s="2" t="s">
        <v>32</v>
      </c>
      <c r="G778" s="2">
        <v>4</v>
      </c>
      <c r="H778" s="6">
        <v>79.989999999999995</v>
      </c>
      <c r="I778" s="4">
        <f t="shared" si="12"/>
        <v>319.95999999999998</v>
      </c>
      <c r="J778" s="2" t="s">
        <v>19</v>
      </c>
      <c r="K778" s="2" t="s">
        <v>28</v>
      </c>
      <c r="L778" s="2" t="s">
        <v>35</v>
      </c>
      <c r="M778" s="11" t="s">
        <v>697</v>
      </c>
    </row>
    <row r="779" spans="1:13" x14ac:dyDescent="0.25">
      <c r="A779" s="10">
        <v>1777</v>
      </c>
      <c r="B779" s="3">
        <v>44930</v>
      </c>
      <c r="C779" s="2" t="s">
        <v>14</v>
      </c>
      <c r="D779" s="2" t="s">
        <v>84</v>
      </c>
      <c r="E779" s="2" t="s">
        <v>127</v>
      </c>
      <c r="F779" s="2" t="s">
        <v>73</v>
      </c>
      <c r="G779" s="2">
        <v>4</v>
      </c>
      <c r="H779" s="6">
        <v>29.99</v>
      </c>
      <c r="I779" s="4">
        <f t="shared" si="12"/>
        <v>119.96</v>
      </c>
      <c r="J779" s="2" t="s">
        <v>33</v>
      </c>
      <c r="K779" s="2" t="s">
        <v>28</v>
      </c>
      <c r="L779" s="2" t="s">
        <v>35</v>
      </c>
      <c r="M779" s="11" t="s">
        <v>697</v>
      </c>
    </row>
    <row r="780" spans="1:13" x14ac:dyDescent="0.25">
      <c r="A780" s="10">
        <v>1778</v>
      </c>
      <c r="B780" s="3">
        <v>45278</v>
      </c>
      <c r="C780" s="2" t="s">
        <v>23</v>
      </c>
      <c r="D780" s="2" t="s">
        <v>124</v>
      </c>
      <c r="E780" s="2" t="s">
        <v>44</v>
      </c>
      <c r="F780" s="2" t="s">
        <v>17</v>
      </c>
      <c r="G780" s="2">
        <v>1</v>
      </c>
      <c r="H780" s="6">
        <v>15.99</v>
      </c>
      <c r="I780" s="4">
        <f t="shared" si="12"/>
        <v>15.99</v>
      </c>
      <c r="J780" s="2" t="s">
        <v>33</v>
      </c>
      <c r="K780" s="2" t="s">
        <v>28</v>
      </c>
      <c r="L780" s="2" t="s">
        <v>29</v>
      </c>
      <c r="M780" s="11" t="s">
        <v>697</v>
      </c>
    </row>
    <row r="781" spans="1:13" x14ac:dyDescent="0.25">
      <c r="A781" s="10">
        <v>1779</v>
      </c>
      <c r="B781" s="5" t="s">
        <v>697</v>
      </c>
      <c r="C781" s="2" t="s">
        <v>42</v>
      </c>
      <c r="D781" s="2" t="s">
        <v>43</v>
      </c>
      <c r="E781" s="2" t="s">
        <v>82</v>
      </c>
      <c r="F781" s="2" t="s">
        <v>60</v>
      </c>
      <c r="G781" s="4" t="s">
        <v>697</v>
      </c>
      <c r="H781" s="6">
        <v>4.99</v>
      </c>
      <c r="I781" s="4" t="str">
        <f t="shared" si="12"/>
        <v>N/A</v>
      </c>
      <c r="J781" s="2" t="s">
        <v>27</v>
      </c>
      <c r="K781" s="2" t="s">
        <v>34</v>
      </c>
      <c r="L781" s="2" t="s">
        <v>35</v>
      </c>
      <c r="M781" s="11" t="s">
        <v>697</v>
      </c>
    </row>
    <row r="782" spans="1:13" x14ac:dyDescent="0.25">
      <c r="A782" s="10">
        <v>1780</v>
      </c>
      <c r="B782" s="5" t="s">
        <v>697</v>
      </c>
      <c r="C782" s="2" t="s">
        <v>42</v>
      </c>
      <c r="D782" s="2" t="s">
        <v>43</v>
      </c>
      <c r="E782" s="2" t="s">
        <v>92</v>
      </c>
      <c r="F782" s="2" t="s">
        <v>26</v>
      </c>
      <c r="G782" s="2">
        <v>4</v>
      </c>
      <c r="H782" s="6">
        <v>14.99</v>
      </c>
      <c r="I782" s="4">
        <f t="shared" si="12"/>
        <v>59.96</v>
      </c>
      <c r="J782" s="2" t="s">
        <v>33</v>
      </c>
      <c r="K782" s="2" t="s">
        <v>34</v>
      </c>
      <c r="L782" s="2" t="s">
        <v>35</v>
      </c>
      <c r="M782" s="11" t="s">
        <v>697</v>
      </c>
    </row>
    <row r="783" spans="1:13" x14ac:dyDescent="0.25">
      <c r="A783" s="10">
        <v>1781</v>
      </c>
      <c r="B783" s="3">
        <v>45320</v>
      </c>
      <c r="C783" s="2" t="s">
        <v>65</v>
      </c>
      <c r="D783" s="2" t="s">
        <v>126</v>
      </c>
      <c r="E783" s="2" t="s">
        <v>39</v>
      </c>
      <c r="F783" s="2" t="s">
        <v>17</v>
      </c>
      <c r="G783" s="2">
        <v>3</v>
      </c>
      <c r="H783" s="6">
        <v>39.99</v>
      </c>
      <c r="I783" s="4">
        <f t="shared" si="12"/>
        <v>119.97</v>
      </c>
      <c r="J783" s="2" t="s">
        <v>33</v>
      </c>
      <c r="K783" s="2" t="s">
        <v>34</v>
      </c>
      <c r="L783" s="2" t="s">
        <v>35</v>
      </c>
      <c r="M783" s="11" t="s">
        <v>697</v>
      </c>
    </row>
    <row r="784" spans="1:13" x14ac:dyDescent="0.25">
      <c r="A784" s="10">
        <v>1782</v>
      </c>
      <c r="B784" s="5" t="s">
        <v>697</v>
      </c>
      <c r="C784" s="2" t="s">
        <v>70</v>
      </c>
      <c r="D784" s="2" t="s">
        <v>131</v>
      </c>
      <c r="E784" s="2" t="s">
        <v>52</v>
      </c>
      <c r="F784" s="2" t="s">
        <v>53</v>
      </c>
      <c r="G784" s="4" t="s">
        <v>697</v>
      </c>
      <c r="H784" s="6">
        <v>59.99</v>
      </c>
      <c r="I784" s="4" t="str">
        <f t="shared" si="12"/>
        <v>N/A</v>
      </c>
      <c r="J784" s="2" t="s">
        <v>19</v>
      </c>
      <c r="K784" s="2" t="s">
        <v>55</v>
      </c>
      <c r="L784" s="2" t="s">
        <v>35</v>
      </c>
      <c r="M784" s="11" t="s">
        <v>697</v>
      </c>
    </row>
    <row r="785" spans="1:13" x14ac:dyDescent="0.25">
      <c r="A785" s="10">
        <v>1783</v>
      </c>
      <c r="B785" s="3">
        <v>45060</v>
      </c>
      <c r="C785" s="2" t="s">
        <v>37</v>
      </c>
      <c r="D785" s="2" t="s">
        <v>169</v>
      </c>
      <c r="E785" s="2" t="s">
        <v>85</v>
      </c>
      <c r="F785" s="2" t="s">
        <v>26</v>
      </c>
      <c r="G785" s="4" t="s">
        <v>697</v>
      </c>
      <c r="H785" s="6">
        <v>99.99</v>
      </c>
      <c r="I785" s="4" t="str">
        <f t="shared" si="12"/>
        <v>N/A</v>
      </c>
      <c r="J785" s="2" t="s">
        <v>54</v>
      </c>
      <c r="K785" s="2" t="s">
        <v>45</v>
      </c>
      <c r="L785" s="2" t="s">
        <v>35</v>
      </c>
      <c r="M785" s="11" t="s">
        <v>697</v>
      </c>
    </row>
    <row r="786" spans="1:13" x14ac:dyDescent="0.25">
      <c r="A786" s="10">
        <v>1784</v>
      </c>
      <c r="B786" s="3">
        <v>45065</v>
      </c>
      <c r="C786" s="2" t="s">
        <v>23</v>
      </c>
      <c r="D786" s="2" t="s">
        <v>24</v>
      </c>
      <c r="E786" s="2" t="s">
        <v>31</v>
      </c>
      <c r="F786" s="2" t="s">
        <v>32</v>
      </c>
      <c r="G786" s="2">
        <v>2</v>
      </c>
      <c r="H786" s="6">
        <v>79.989999999999995</v>
      </c>
      <c r="I786" s="4">
        <f t="shared" si="12"/>
        <v>159.97999999999999</v>
      </c>
      <c r="J786" s="2" t="s">
        <v>33</v>
      </c>
      <c r="K786" s="2" t="s">
        <v>45</v>
      </c>
      <c r="L786" s="2" t="s">
        <v>35</v>
      </c>
      <c r="M786" s="12" t="s">
        <v>63</v>
      </c>
    </row>
    <row r="787" spans="1:13" x14ac:dyDescent="0.25">
      <c r="A787" s="10">
        <v>1785</v>
      </c>
      <c r="B787" s="3">
        <v>45249</v>
      </c>
      <c r="C787" s="2" t="s">
        <v>697</v>
      </c>
      <c r="D787" s="2" t="s">
        <v>84</v>
      </c>
      <c r="E787" s="2" t="s">
        <v>39</v>
      </c>
      <c r="F787" s="2" t="s">
        <v>17</v>
      </c>
      <c r="G787" s="4" t="s">
        <v>697</v>
      </c>
      <c r="H787" s="6">
        <v>39.99</v>
      </c>
      <c r="I787" s="4" t="str">
        <f t="shared" si="12"/>
        <v>N/A</v>
      </c>
      <c r="J787" s="2" t="s">
        <v>19</v>
      </c>
      <c r="K787" s="2" t="s">
        <v>34</v>
      </c>
      <c r="L787" s="2" t="s">
        <v>35</v>
      </c>
      <c r="M787" s="11" t="s">
        <v>697</v>
      </c>
    </row>
    <row r="788" spans="1:13" x14ac:dyDescent="0.25">
      <c r="A788" s="10">
        <v>1786</v>
      </c>
      <c r="B788" s="5" t="s">
        <v>697</v>
      </c>
      <c r="C788" s="2" t="s">
        <v>37</v>
      </c>
      <c r="D788" s="4" t="s">
        <v>697</v>
      </c>
      <c r="E788" s="2" t="s">
        <v>72</v>
      </c>
      <c r="F788" s="2" t="s">
        <v>73</v>
      </c>
      <c r="G788" s="2">
        <v>5</v>
      </c>
      <c r="H788" s="6">
        <v>49.99</v>
      </c>
      <c r="I788" s="4">
        <f t="shared" si="12"/>
        <v>249.95000000000002</v>
      </c>
      <c r="J788" s="2" t="s">
        <v>27</v>
      </c>
      <c r="K788" s="2" t="s">
        <v>129</v>
      </c>
      <c r="L788" s="2" t="s">
        <v>35</v>
      </c>
      <c r="M788" s="11" t="s">
        <v>697</v>
      </c>
    </row>
    <row r="789" spans="1:13" x14ac:dyDescent="0.25">
      <c r="A789" s="10">
        <v>1787</v>
      </c>
      <c r="B789" s="3">
        <v>45092</v>
      </c>
      <c r="C789" s="2" t="s">
        <v>77</v>
      </c>
      <c r="D789" s="2" t="s">
        <v>78</v>
      </c>
      <c r="E789" s="2" t="s">
        <v>82</v>
      </c>
      <c r="F789" s="2" t="s">
        <v>60</v>
      </c>
      <c r="G789" s="2">
        <v>5</v>
      </c>
      <c r="H789" s="6">
        <v>4.99</v>
      </c>
      <c r="I789" s="4">
        <f t="shared" si="12"/>
        <v>24.950000000000003</v>
      </c>
      <c r="J789" s="2" t="s">
        <v>27</v>
      </c>
      <c r="K789" s="2" t="s">
        <v>28</v>
      </c>
      <c r="L789" s="2" t="s">
        <v>35</v>
      </c>
      <c r="M789" s="11" t="s">
        <v>697</v>
      </c>
    </row>
    <row r="790" spans="1:13" x14ac:dyDescent="0.25">
      <c r="A790" s="10">
        <v>1788</v>
      </c>
      <c r="B790" s="3">
        <v>45201</v>
      </c>
      <c r="C790" s="2" t="s">
        <v>42</v>
      </c>
      <c r="D790" s="4" t="s">
        <v>697</v>
      </c>
      <c r="E790" s="2" t="s">
        <v>31</v>
      </c>
      <c r="F790" s="2" t="s">
        <v>32</v>
      </c>
      <c r="G790" s="2">
        <v>1</v>
      </c>
      <c r="H790" s="6">
        <v>79.989999999999995</v>
      </c>
      <c r="I790" s="4">
        <f t="shared" si="12"/>
        <v>79.989999999999995</v>
      </c>
      <c r="J790" s="2" t="s">
        <v>19</v>
      </c>
      <c r="K790" s="2" t="s">
        <v>45</v>
      </c>
      <c r="L790" s="2" t="s">
        <v>35</v>
      </c>
      <c r="M790" s="11" t="s">
        <v>697</v>
      </c>
    </row>
    <row r="791" spans="1:13" x14ac:dyDescent="0.25">
      <c r="A791" s="10">
        <v>1789</v>
      </c>
      <c r="B791" s="3">
        <v>45133</v>
      </c>
      <c r="C791" s="2" t="s">
        <v>65</v>
      </c>
      <c r="D791" s="2" t="s">
        <v>126</v>
      </c>
      <c r="E791" s="2" t="s">
        <v>44</v>
      </c>
      <c r="F791" s="2" t="s">
        <v>17</v>
      </c>
      <c r="G791" s="2">
        <v>3</v>
      </c>
      <c r="H791" s="6">
        <v>15.99</v>
      </c>
      <c r="I791" s="4">
        <f t="shared" si="12"/>
        <v>47.97</v>
      </c>
      <c r="J791" s="2" t="s">
        <v>19</v>
      </c>
      <c r="K791" s="2" t="s">
        <v>129</v>
      </c>
      <c r="L791" s="2" t="s">
        <v>35</v>
      </c>
      <c r="M791" s="11" t="s">
        <v>697</v>
      </c>
    </row>
    <row r="792" spans="1:13" x14ac:dyDescent="0.25">
      <c r="A792" s="10">
        <v>1790</v>
      </c>
      <c r="B792" s="3">
        <v>45129</v>
      </c>
      <c r="C792" s="2" t="s">
        <v>697</v>
      </c>
      <c r="D792" s="2" t="s">
        <v>114</v>
      </c>
      <c r="E792" s="2" t="s">
        <v>31</v>
      </c>
      <c r="F792" s="2" t="s">
        <v>32</v>
      </c>
      <c r="G792" s="2">
        <v>2</v>
      </c>
      <c r="H792" s="6">
        <v>79.989999999999995</v>
      </c>
      <c r="I792" s="4">
        <f t="shared" si="12"/>
        <v>159.97999999999999</v>
      </c>
      <c r="J792" s="2" t="s">
        <v>33</v>
      </c>
      <c r="K792" s="2" t="s">
        <v>34</v>
      </c>
      <c r="L792" s="2" t="s">
        <v>40</v>
      </c>
      <c r="M792" s="12" t="s">
        <v>63</v>
      </c>
    </row>
    <row r="793" spans="1:13" x14ac:dyDescent="0.25">
      <c r="A793" s="10">
        <v>1791</v>
      </c>
      <c r="B793" s="5" t="s">
        <v>697</v>
      </c>
      <c r="C793" s="2" t="s">
        <v>23</v>
      </c>
      <c r="D793" s="2" t="s">
        <v>81</v>
      </c>
      <c r="E793" s="2" t="s">
        <v>92</v>
      </c>
      <c r="F793" s="2" t="s">
        <v>26</v>
      </c>
      <c r="G793" s="2">
        <v>1</v>
      </c>
      <c r="H793" s="6">
        <v>14.99</v>
      </c>
      <c r="I793" s="4">
        <f t="shared" si="12"/>
        <v>14.99</v>
      </c>
      <c r="J793" s="2" t="s">
        <v>54</v>
      </c>
      <c r="K793" s="2" t="s">
        <v>28</v>
      </c>
      <c r="L793" s="2" t="s">
        <v>40</v>
      </c>
      <c r="M793" s="11" t="s">
        <v>697</v>
      </c>
    </row>
    <row r="794" spans="1:13" x14ac:dyDescent="0.25">
      <c r="A794" s="10">
        <v>1792</v>
      </c>
      <c r="B794" s="5" t="s">
        <v>697</v>
      </c>
      <c r="C794" s="2" t="s">
        <v>65</v>
      </c>
      <c r="D794" s="2" t="s">
        <v>123</v>
      </c>
      <c r="E794" s="2" t="s">
        <v>92</v>
      </c>
      <c r="F794" s="2" t="s">
        <v>26</v>
      </c>
      <c r="G794" s="2">
        <v>3</v>
      </c>
      <c r="H794" s="6">
        <v>14.99</v>
      </c>
      <c r="I794" s="4">
        <f t="shared" si="12"/>
        <v>44.97</v>
      </c>
      <c r="J794" s="2" t="s">
        <v>54</v>
      </c>
      <c r="K794" s="2" t="s">
        <v>28</v>
      </c>
      <c r="L794" s="2" t="s">
        <v>35</v>
      </c>
      <c r="M794" s="11" t="s">
        <v>697</v>
      </c>
    </row>
    <row r="795" spans="1:13" x14ac:dyDescent="0.25">
      <c r="A795" s="10">
        <v>1793</v>
      </c>
      <c r="B795" s="5" t="s">
        <v>697</v>
      </c>
      <c r="C795" s="2" t="s">
        <v>42</v>
      </c>
      <c r="D795" s="2" t="s">
        <v>48</v>
      </c>
      <c r="E795" s="2" t="s">
        <v>39</v>
      </c>
      <c r="F795" s="2" t="s">
        <v>17</v>
      </c>
      <c r="G795" s="2">
        <v>5</v>
      </c>
      <c r="H795" s="6">
        <v>39.99</v>
      </c>
      <c r="I795" s="4">
        <f t="shared" si="12"/>
        <v>199.95000000000002</v>
      </c>
      <c r="J795" s="2" t="s">
        <v>27</v>
      </c>
      <c r="K795" s="2" t="s">
        <v>45</v>
      </c>
      <c r="L795" s="2" t="s">
        <v>29</v>
      </c>
      <c r="M795" s="11" t="s">
        <v>697</v>
      </c>
    </row>
    <row r="796" spans="1:13" x14ac:dyDescent="0.25">
      <c r="A796" s="10">
        <v>1794</v>
      </c>
      <c r="B796" s="5" t="s">
        <v>697</v>
      </c>
      <c r="C796" s="2" t="s">
        <v>65</v>
      </c>
      <c r="D796" s="2" t="s">
        <v>123</v>
      </c>
      <c r="E796" s="2" t="s">
        <v>52</v>
      </c>
      <c r="F796" s="2" t="s">
        <v>53</v>
      </c>
      <c r="G796" s="2">
        <v>4</v>
      </c>
      <c r="H796" s="6">
        <v>59.99</v>
      </c>
      <c r="I796" s="4">
        <f t="shared" si="12"/>
        <v>239.96</v>
      </c>
      <c r="J796" s="2" t="s">
        <v>27</v>
      </c>
      <c r="K796" s="2" t="s">
        <v>45</v>
      </c>
      <c r="L796" s="2" t="s">
        <v>40</v>
      </c>
      <c r="M796" s="11" t="s">
        <v>697</v>
      </c>
    </row>
    <row r="797" spans="1:13" x14ac:dyDescent="0.25">
      <c r="A797" s="10">
        <v>1795</v>
      </c>
      <c r="B797" s="5" t="s">
        <v>697</v>
      </c>
      <c r="C797" s="2" t="s">
        <v>65</v>
      </c>
      <c r="D797" s="2" t="s">
        <v>123</v>
      </c>
      <c r="E797" s="2" t="s">
        <v>52</v>
      </c>
      <c r="F797" s="2" t="s">
        <v>53</v>
      </c>
      <c r="G797" s="2">
        <v>5</v>
      </c>
      <c r="H797" s="6">
        <v>59.99</v>
      </c>
      <c r="I797" s="4">
        <f t="shared" si="12"/>
        <v>299.95</v>
      </c>
      <c r="J797" s="2" t="s">
        <v>19</v>
      </c>
      <c r="K797" s="2" t="s">
        <v>45</v>
      </c>
      <c r="L797" s="2" t="s">
        <v>40</v>
      </c>
      <c r="M797" s="11" t="s">
        <v>697</v>
      </c>
    </row>
    <row r="798" spans="1:13" x14ac:dyDescent="0.25">
      <c r="A798" s="10">
        <v>1796</v>
      </c>
      <c r="B798" s="3">
        <v>45396</v>
      </c>
      <c r="C798" s="2" t="s">
        <v>65</v>
      </c>
      <c r="D798" s="2" t="s">
        <v>66</v>
      </c>
      <c r="E798" s="2" t="s">
        <v>82</v>
      </c>
      <c r="F798" s="2" t="s">
        <v>60</v>
      </c>
      <c r="G798" s="4" t="s">
        <v>697</v>
      </c>
      <c r="H798" s="6">
        <v>4.99</v>
      </c>
      <c r="I798" s="4" t="str">
        <f t="shared" si="12"/>
        <v>N/A</v>
      </c>
      <c r="J798" s="2" t="s">
        <v>27</v>
      </c>
      <c r="K798" s="2" t="s">
        <v>45</v>
      </c>
      <c r="L798" s="2" t="s">
        <v>35</v>
      </c>
      <c r="M798" s="11" t="s">
        <v>697</v>
      </c>
    </row>
    <row r="799" spans="1:13" x14ac:dyDescent="0.25">
      <c r="A799" s="10">
        <v>1797</v>
      </c>
      <c r="B799" s="5" t="s">
        <v>697</v>
      </c>
      <c r="C799" s="2" t="s">
        <v>14</v>
      </c>
      <c r="D799" s="2" t="s">
        <v>84</v>
      </c>
      <c r="E799" s="2" t="s">
        <v>72</v>
      </c>
      <c r="F799" s="2" t="s">
        <v>73</v>
      </c>
      <c r="G799" s="2">
        <v>5</v>
      </c>
      <c r="H799" s="6">
        <v>49.99</v>
      </c>
      <c r="I799" s="4">
        <f t="shared" si="12"/>
        <v>249.95000000000002</v>
      </c>
      <c r="J799" s="2" t="s">
        <v>33</v>
      </c>
      <c r="K799" s="2" t="s">
        <v>129</v>
      </c>
      <c r="L799" s="2" t="s">
        <v>35</v>
      </c>
      <c r="M799" s="11" t="s">
        <v>697</v>
      </c>
    </row>
    <row r="800" spans="1:13" x14ac:dyDescent="0.25">
      <c r="A800" s="10">
        <v>1798</v>
      </c>
      <c r="B800" s="3">
        <v>45138</v>
      </c>
      <c r="C800" s="2" t="s">
        <v>65</v>
      </c>
      <c r="D800" s="2" t="s">
        <v>123</v>
      </c>
      <c r="E800" s="2" t="s">
        <v>92</v>
      </c>
      <c r="F800" s="2" t="s">
        <v>26</v>
      </c>
      <c r="G800" s="4" t="s">
        <v>697</v>
      </c>
      <c r="H800" s="6">
        <v>14.99</v>
      </c>
      <c r="I800" s="4" t="str">
        <f t="shared" si="12"/>
        <v>N/A</v>
      </c>
      <c r="J800" s="2" t="s">
        <v>19</v>
      </c>
      <c r="K800" s="2" t="s">
        <v>45</v>
      </c>
      <c r="L800" s="2" t="s">
        <v>35</v>
      </c>
      <c r="M800" s="11" t="s">
        <v>697</v>
      </c>
    </row>
    <row r="801" spans="1:13" x14ac:dyDescent="0.25">
      <c r="A801" s="10">
        <v>1799</v>
      </c>
      <c r="B801" s="3">
        <v>45336</v>
      </c>
      <c r="C801" s="2" t="s">
        <v>37</v>
      </c>
      <c r="D801" s="2" t="s">
        <v>162</v>
      </c>
      <c r="E801" s="2" t="s">
        <v>52</v>
      </c>
      <c r="F801" s="2" t="s">
        <v>53</v>
      </c>
      <c r="G801" s="2">
        <v>3</v>
      </c>
      <c r="H801" s="6">
        <v>59.99</v>
      </c>
      <c r="I801" s="4">
        <f t="shared" si="12"/>
        <v>179.97</v>
      </c>
      <c r="J801" s="2" t="s">
        <v>33</v>
      </c>
      <c r="K801" s="2" t="s">
        <v>45</v>
      </c>
      <c r="L801" s="2" t="s">
        <v>29</v>
      </c>
      <c r="M801" s="11" t="s">
        <v>697</v>
      </c>
    </row>
    <row r="802" spans="1:13" x14ac:dyDescent="0.25">
      <c r="A802" s="10">
        <v>1800</v>
      </c>
      <c r="B802" s="3">
        <v>45117</v>
      </c>
      <c r="C802" s="2" t="s">
        <v>37</v>
      </c>
      <c r="D802" s="2" t="s">
        <v>169</v>
      </c>
      <c r="E802" s="2" t="s">
        <v>85</v>
      </c>
      <c r="F802" s="2" t="s">
        <v>26</v>
      </c>
      <c r="G802" s="2">
        <v>2</v>
      </c>
      <c r="H802" s="6">
        <v>99.99</v>
      </c>
      <c r="I802" s="4">
        <f t="shared" si="12"/>
        <v>199.98</v>
      </c>
      <c r="J802" s="2" t="s">
        <v>19</v>
      </c>
      <c r="K802" s="2" t="s">
        <v>28</v>
      </c>
      <c r="L802" s="2" t="s">
        <v>35</v>
      </c>
      <c r="M802" s="11" t="s">
        <v>697</v>
      </c>
    </row>
    <row r="803" spans="1:13" x14ac:dyDescent="0.25">
      <c r="A803" s="10">
        <v>1801</v>
      </c>
      <c r="B803" s="3">
        <v>45230</v>
      </c>
      <c r="C803" s="2" t="s">
        <v>14</v>
      </c>
      <c r="D803" s="2" t="s">
        <v>75</v>
      </c>
      <c r="E803" s="2" t="s">
        <v>82</v>
      </c>
      <c r="F803" s="2" t="s">
        <v>60</v>
      </c>
      <c r="G803" s="2">
        <v>3</v>
      </c>
      <c r="H803" s="6">
        <v>4.99</v>
      </c>
      <c r="I803" s="4">
        <f t="shared" si="12"/>
        <v>14.97</v>
      </c>
      <c r="J803" s="2" t="s">
        <v>33</v>
      </c>
      <c r="K803" s="2" t="s">
        <v>34</v>
      </c>
      <c r="L803" s="2" t="s">
        <v>35</v>
      </c>
      <c r="M803" s="11" t="s">
        <v>697</v>
      </c>
    </row>
    <row r="804" spans="1:13" x14ac:dyDescent="0.25">
      <c r="A804" s="10">
        <v>1802</v>
      </c>
      <c r="B804" s="3">
        <v>45253</v>
      </c>
      <c r="C804" s="2" t="s">
        <v>42</v>
      </c>
      <c r="D804" s="2" t="s">
        <v>43</v>
      </c>
      <c r="E804" s="2" t="s">
        <v>39</v>
      </c>
      <c r="F804" s="2" t="s">
        <v>17</v>
      </c>
      <c r="G804" s="2">
        <v>2</v>
      </c>
      <c r="H804" s="6">
        <v>39.99</v>
      </c>
      <c r="I804" s="4">
        <f t="shared" si="12"/>
        <v>79.98</v>
      </c>
      <c r="J804" s="2" t="s">
        <v>27</v>
      </c>
      <c r="K804" s="2" t="s">
        <v>28</v>
      </c>
      <c r="L804" s="2" t="s">
        <v>35</v>
      </c>
      <c r="M804" s="11" t="s">
        <v>697</v>
      </c>
    </row>
    <row r="805" spans="1:13" x14ac:dyDescent="0.25">
      <c r="A805" s="10">
        <v>1803</v>
      </c>
      <c r="B805" s="3">
        <v>45055</v>
      </c>
      <c r="C805" s="2" t="s">
        <v>65</v>
      </c>
      <c r="D805" s="2" t="s">
        <v>123</v>
      </c>
      <c r="E805" s="2" t="s">
        <v>39</v>
      </c>
      <c r="F805" s="2" t="s">
        <v>17</v>
      </c>
      <c r="G805" s="2">
        <v>5</v>
      </c>
      <c r="H805" s="6">
        <v>39.99</v>
      </c>
      <c r="I805" s="4">
        <f t="shared" si="12"/>
        <v>199.95000000000002</v>
      </c>
      <c r="J805" s="2" t="s">
        <v>27</v>
      </c>
      <c r="K805" s="2" t="s">
        <v>34</v>
      </c>
      <c r="L805" s="2" t="s">
        <v>29</v>
      </c>
      <c r="M805" s="11" t="s">
        <v>697</v>
      </c>
    </row>
    <row r="806" spans="1:13" x14ac:dyDescent="0.25">
      <c r="A806" s="10">
        <v>1804</v>
      </c>
      <c r="B806" s="3">
        <v>45151</v>
      </c>
      <c r="C806" s="2" t="s">
        <v>37</v>
      </c>
      <c r="D806" s="2" t="s">
        <v>38</v>
      </c>
      <c r="E806" s="2" t="s">
        <v>85</v>
      </c>
      <c r="F806" s="2" t="s">
        <v>26</v>
      </c>
      <c r="G806" s="4" t="s">
        <v>697</v>
      </c>
      <c r="H806" s="6">
        <v>99.99</v>
      </c>
      <c r="I806" s="4" t="str">
        <f t="shared" si="12"/>
        <v>N/A</v>
      </c>
      <c r="J806" s="2" t="s">
        <v>33</v>
      </c>
      <c r="K806" s="2" t="s">
        <v>28</v>
      </c>
      <c r="L806" s="2" t="s">
        <v>35</v>
      </c>
      <c r="M806" s="11" t="s">
        <v>697</v>
      </c>
    </row>
    <row r="807" spans="1:13" x14ac:dyDescent="0.25">
      <c r="A807" s="10">
        <v>1805</v>
      </c>
      <c r="B807" s="3">
        <v>45010</v>
      </c>
      <c r="C807" s="2" t="s">
        <v>37</v>
      </c>
      <c r="D807" s="2" t="s">
        <v>38</v>
      </c>
      <c r="E807" s="2" t="s">
        <v>127</v>
      </c>
      <c r="F807" s="2" t="s">
        <v>73</v>
      </c>
      <c r="G807" s="2">
        <v>1</v>
      </c>
      <c r="H807" s="6">
        <v>29.99</v>
      </c>
      <c r="I807" s="4">
        <f t="shared" si="12"/>
        <v>29.99</v>
      </c>
      <c r="J807" s="2" t="s">
        <v>33</v>
      </c>
      <c r="K807" s="2" t="s">
        <v>34</v>
      </c>
      <c r="L807" s="2" t="s">
        <v>29</v>
      </c>
      <c r="M807" s="11" t="s">
        <v>697</v>
      </c>
    </row>
    <row r="808" spans="1:13" x14ac:dyDescent="0.25">
      <c r="A808" s="10">
        <v>1806</v>
      </c>
      <c r="B808" s="5" t="s">
        <v>697</v>
      </c>
      <c r="C808" s="2" t="s">
        <v>14</v>
      </c>
      <c r="D808" s="4" t="s">
        <v>697</v>
      </c>
      <c r="E808" s="2" t="s">
        <v>82</v>
      </c>
      <c r="F808" s="2" t="s">
        <v>60</v>
      </c>
      <c r="G808" s="2">
        <v>1</v>
      </c>
      <c r="H808" s="6">
        <v>4.99</v>
      </c>
      <c r="I808" s="4">
        <f t="shared" si="12"/>
        <v>4.99</v>
      </c>
      <c r="J808" s="2" t="s">
        <v>33</v>
      </c>
      <c r="K808" s="2" t="s">
        <v>55</v>
      </c>
      <c r="L808" s="2" t="s">
        <v>35</v>
      </c>
      <c r="M808" s="11" t="s">
        <v>697</v>
      </c>
    </row>
    <row r="809" spans="1:13" x14ac:dyDescent="0.25">
      <c r="A809" s="10">
        <v>1807</v>
      </c>
      <c r="B809" s="3">
        <v>45396</v>
      </c>
      <c r="C809" s="2" t="s">
        <v>14</v>
      </c>
      <c r="D809" s="2" t="s">
        <v>75</v>
      </c>
      <c r="E809" s="2" t="s">
        <v>82</v>
      </c>
      <c r="F809" s="2" t="s">
        <v>60</v>
      </c>
      <c r="G809" s="2">
        <v>2</v>
      </c>
      <c r="H809" s="6">
        <v>4.99</v>
      </c>
      <c r="I809" s="4">
        <f t="shared" si="12"/>
        <v>9.98</v>
      </c>
      <c r="J809" s="2" t="s">
        <v>33</v>
      </c>
      <c r="K809" s="2" t="s">
        <v>45</v>
      </c>
      <c r="L809" s="2" t="s">
        <v>29</v>
      </c>
      <c r="M809" s="11" t="s">
        <v>697</v>
      </c>
    </row>
    <row r="810" spans="1:13" x14ac:dyDescent="0.25">
      <c r="A810" s="10">
        <v>1808</v>
      </c>
      <c r="B810" s="3">
        <v>45057</v>
      </c>
      <c r="C810" s="2" t="s">
        <v>65</v>
      </c>
      <c r="D810" s="2" t="s">
        <v>123</v>
      </c>
      <c r="E810" s="2" t="s">
        <v>82</v>
      </c>
      <c r="F810" s="2" t="s">
        <v>60</v>
      </c>
      <c r="G810" s="2">
        <v>5</v>
      </c>
      <c r="H810" s="6">
        <v>4.99</v>
      </c>
      <c r="I810" s="4">
        <f t="shared" si="12"/>
        <v>24.950000000000003</v>
      </c>
      <c r="J810" s="2" t="s">
        <v>54</v>
      </c>
      <c r="K810" s="2" t="s">
        <v>45</v>
      </c>
      <c r="L810" s="2" t="s">
        <v>40</v>
      </c>
      <c r="M810" s="11" t="s">
        <v>697</v>
      </c>
    </row>
    <row r="811" spans="1:13" x14ac:dyDescent="0.25">
      <c r="A811" s="10">
        <v>1809</v>
      </c>
      <c r="B811" s="3">
        <v>45400</v>
      </c>
      <c r="C811" s="2" t="s">
        <v>42</v>
      </c>
      <c r="D811" s="4" t="s">
        <v>697</v>
      </c>
      <c r="E811" s="2" t="s">
        <v>85</v>
      </c>
      <c r="F811" s="2" t="s">
        <v>26</v>
      </c>
      <c r="G811" s="2">
        <v>3</v>
      </c>
      <c r="H811" s="6">
        <v>99.99</v>
      </c>
      <c r="I811" s="4">
        <f t="shared" si="12"/>
        <v>299.96999999999997</v>
      </c>
      <c r="J811" s="2" t="s">
        <v>33</v>
      </c>
      <c r="K811" s="2" t="s">
        <v>28</v>
      </c>
      <c r="L811" s="2" t="s">
        <v>35</v>
      </c>
      <c r="M811" s="11" t="s">
        <v>697</v>
      </c>
    </row>
    <row r="812" spans="1:13" x14ac:dyDescent="0.25">
      <c r="A812" s="10">
        <v>1810</v>
      </c>
      <c r="B812" s="5" t="s">
        <v>697</v>
      </c>
      <c r="C812" s="2" t="s">
        <v>77</v>
      </c>
      <c r="D812" s="2" t="s">
        <v>91</v>
      </c>
      <c r="E812" s="2" t="s">
        <v>85</v>
      </c>
      <c r="F812" s="2" t="s">
        <v>26</v>
      </c>
      <c r="G812" s="2">
        <v>3</v>
      </c>
      <c r="H812" s="6">
        <v>99.99</v>
      </c>
      <c r="I812" s="4">
        <f t="shared" si="12"/>
        <v>299.96999999999997</v>
      </c>
      <c r="J812" s="2" t="s">
        <v>54</v>
      </c>
      <c r="K812" s="2" t="s">
        <v>34</v>
      </c>
      <c r="L812" s="2" t="s">
        <v>35</v>
      </c>
      <c r="M812" s="11" t="s">
        <v>697</v>
      </c>
    </row>
    <row r="813" spans="1:13" x14ac:dyDescent="0.25">
      <c r="A813" s="10">
        <v>1811</v>
      </c>
      <c r="B813" s="3">
        <v>45320</v>
      </c>
      <c r="C813" s="2" t="s">
        <v>77</v>
      </c>
      <c r="D813" s="2" t="s">
        <v>114</v>
      </c>
      <c r="E813" s="2" t="s">
        <v>127</v>
      </c>
      <c r="F813" s="2" t="s">
        <v>73</v>
      </c>
      <c r="G813" s="4" t="s">
        <v>697</v>
      </c>
      <c r="H813" s="6">
        <v>29.99</v>
      </c>
      <c r="I813" s="4" t="str">
        <f t="shared" si="12"/>
        <v>N/A</v>
      </c>
      <c r="J813" s="2" t="s">
        <v>27</v>
      </c>
      <c r="K813" s="2" t="s">
        <v>129</v>
      </c>
      <c r="L813" s="2" t="s">
        <v>29</v>
      </c>
      <c r="M813" s="11" t="s">
        <v>697</v>
      </c>
    </row>
    <row r="814" spans="1:13" x14ac:dyDescent="0.25">
      <c r="A814" s="10">
        <v>1812</v>
      </c>
      <c r="B814" s="3">
        <v>45116</v>
      </c>
      <c r="C814" s="2" t="s">
        <v>42</v>
      </c>
      <c r="D814" s="2" t="s">
        <v>48</v>
      </c>
      <c r="E814" s="2" t="s">
        <v>85</v>
      </c>
      <c r="F814" s="2" t="s">
        <v>26</v>
      </c>
      <c r="G814" s="2">
        <v>3</v>
      </c>
      <c r="H814" s="6">
        <v>99.99</v>
      </c>
      <c r="I814" s="4">
        <f t="shared" si="12"/>
        <v>299.96999999999997</v>
      </c>
      <c r="J814" s="2" t="s">
        <v>33</v>
      </c>
      <c r="K814" s="2" t="s">
        <v>55</v>
      </c>
      <c r="L814" s="2" t="s">
        <v>35</v>
      </c>
      <c r="M814" s="11" t="s">
        <v>697</v>
      </c>
    </row>
    <row r="815" spans="1:13" x14ac:dyDescent="0.25">
      <c r="A815" s="10">
        <v>1813</v>
      </c>
      <c r="B815" s="5" t="s">
        <v>697</v>
      </c>
      <c r="C815" s="2" t="s">
        <v>23</v>
      </c>
      <c r="D815" s="2" t="s">
        <v>124</v>
      </c>
      <c r="E815" s="2" t="s">
        <v>127</v>
      </c>
      <c r="F815" s="2" t="s">
        <v>73</v>
      </c>
      <c r="G815" s="2">
        <v>2</v>
      </c>
      <c r="H815" s="6">
        <v>29.99</v>
      </c>
      <c r="I815" s="4">
        <f t="shared" si="12"/>
        <v>59.98</v>
      </c>
      <c r="J815" s="2" t="s">
        <v>54</v>
      </c>
      <c r="K815" s="2" t="s">
        <v>45</v>
      </c>
      <c r="L815" s="2" t="s">
        <v>40</v>
      </c>
      <c r="M815" s="12" t="s">
        <v>63</v>
      </c>
    </row>
    <row r="816" spans="1:13" x14ac:dyDescent="0.25">
      <c r="A816" s="10">
        <v>1814</v>
      </c>
      <c r="B816" s="3">
        <v>45025</v>
      </c>
      <c r="C816" s="2" t="s">
        <v>77</v>
      </c>
      <c r="D816" s="2" t="s">
        <v>78</v>
      </c>
      <c r="E816" s="2" t="s">
        <v>72</v>
      </c>
      <c r="F816" s="2" t="s">
        <v>73</v>
      </c>
      <c r="G816" s="2">
        <v>3</v>
      </c>
      <c r="H816" s="6">
        <v>49.99</v>
      </c>
      <c r="I816" s="4">
        <f t="shared" si="12"/>
        <v>149.97</v>
      </c>
      <c r="J816" s="2" t="s">
        <v>33</v>
      </c>
      <c r="K816" s="2" t="s">
        <v>28</v>
      </c>
      <c r="L816" s="2" t="s">
        <v>29</v>
      </c>
      <c r="M816" s="11" t="s">
        <v>697</v>
      </c>
    </row>
    <row r="817" spans="1:13" x14ac:dyDescent="0.25">
      <c r="A817" s="10">
        <v>1815</v>
      </c>
      <c r="B817" s="3">
        <v>45215</v>
      </c>
      <c r="C817" s="2" t="s">
        <v>70</v>
      </c>
      <c r="D817" s="2" t="s">
        <v>88</v>
      </c>
      <c r="E817" s="2" t="s">
        <v>92</v>
      </c>
      <c r="F817" s="2" t="s">
        <v>26</v>
      </c>
      <c r="G817" s="2">
        <v>1</v>
      </c>
      <c r="H817" s="6">
        <v>14.99</v>
      </c>
      <c r="I817" s="4">
        <f t="shared" si="12"/>
        <v>14.99</v>
      </c>
      <c r="J817" s="2" t="s">
        <v>33</v>
      </c>
      <c r="K817" s="2" t="s">
        <v>45</v>
      </c>
      <c r="L817" s="2" t="s">
        <v>35</v>
      </c>
      <c r="M817" s="12" t="s">
        <v>63</v>
      </c>
    </row>
    <row r="818" spans="1:13" x14ac:dyDescent="0.25">
      <c r="A818" s="10">
        <v>1816</v>
      </c>
      <c r="B818" s="3">
        <v>45301</v>
      </c>
      <c r="C818" s="2" t="s">
        <v>14</v>
      </c>
      <c r="D818" s="2" t="s">
        <v>75</v>
      </c>
      <c r="E818" s="2" t="s">
        <v>39</v>
      </c>
      <c r="F818" s="2" t="s">
        <v>17</v>
      </c>
      <c r="G818" s="2">
        <v>3</v>
      </c>
      <c r="H818" s="6">
        <v>39.99</v>
      </c>
      <c r="I818" s="4">
        <f t="shared" si="12"/>
        <v>119.97</v>
      </c>
      <c r="J818" s="2" t="s">
        <v>33</v>
      </c>
      <c r="K818" s="2" t="s">
        <v>45</v>
      </c>
      <c r="L818" s="2" t="s">
        <v>35</v>
      </c>
      <c r="M818" s="11" t="s">
        <v>697</v>
      </c>
    </row>
    <row r="819" spans="1:13" x14ac:dyDescent="0.25">
      <c r="A819" s="10">
        <v>1817</v>
      </c>
      <c r="B819" s="3">
        <v>44965</v>
      </c>
      <c r="C819" s="2" t="s">
        <v>14</v>
      </c>
      <c r="D819" s="2" t="s">
        <v>75</v>
      </c>
      <c r="E819" s="2" t="s">
        <v>31</v>
      </c>
      <c r="F819" s="2" t="s">
        <v>32</v>
      </c>
      <c r="G819" s="2">
        <v>3</v>
      </c>
      <c r="H819" s="6">
        <v>79.989999999999995</v>
      </c>
      <c r="I819" s="4">
        <f t="shared" si="12"/>
        <v>239.96999999999997</v>
      </c>
      <c r="J819" s="2" t="s">
        <v>33</v>
      </c>
      <c r="K819" s="2" t="s">
        <v>28</v>
      </c>
      <c r="L819" s="2" t="s">
        <v>40</v>
      </c>
      <c r="M819" s="11" t="s">
        <v>697</v>
      </c>
    </row>
    <row r="820" spans="1:13" x14ac:dyDescent="0.25">
      <c r="A820" s="10">
        <v>1818</v>
      </c>
      <c r="B820" s="3">
        <v>45160</v>
      </c>
      <c r="C820" s="2" t="s">
        <v>42</v>
      </c>
      <c r="D820" s="2" t="s">
        <v>116</v>
      </c>
      <c r="E820" s="2" t="s">
        <v>127</v>
      </c>
      <c r="F820" s="2" t="s">
        <v>73</v>
      </c>
      <c r="G820" s="2">
        <v>5</v>
      </c>
      <c r="H820" s="6">
        <v>29.99</v>
      </c>
      <c r="I820" s="4">
        <f t="shared" si="12"/>
        <v>149.94999999999999</v>
      </c>
      <c r="J820" s="2" t="s">
        <v>19</v>
      </c>
      <c r="K820" s="2" t="s">
        <v>45</v>
      </c>
      <c r="L820" s="2" t="s">
        <v>40</v>
      </c>
      <c r="M820" s="11" t="s">
        <v>697</v>
      </c>
    </row>
    <row r="821" spans="1:13" x14ac:dyDescent="0.25">
      <c r="A821" s="10">
        <v>1819</v>
      </c>
      <c r="B821" s="5" t="s">
        <v>697</v>
      </c>
      <c r="C821" s="2" t="s">
        <v>14</v>
      </c>
      <c r="D821" s="2" t="s">
        <v>84</v>
      </c>
      <c r="E821" s="2" t="s">
        <v>82</v>
      </c>
      <c r="F821" s="2" t="s">
        <v>60</v>
      </c>
      <c r="G821" s="2">
        <v>1</v>
      </c>
      <c r="H821" s="6">
        <v>4.99</v>
      </c>
      <c r="I821" s="4">
        <f t="shared" si="12"/>
        <v>4.99</v>
      </c>
      <c r="J821" s="2" t="s">
        <v>33</v>
      </c>
      <c r="K821" s="2" t="s">
        <v>45</v>
      </c>
      <c r="L821" s="2" t="s">
        <v>35</v>
      </c>
      <c r="M821" s="11" t="s">
        <v>697</v>
      </c>
    </row>
    <row r="822" spans="1:13" x14ac:dyDescent="0.25">
      <c r="A822" s="10">
        <v>1820</v>
      </c>
      <c r="B822" s="3">
        <v>45177</v>
      </c>
      <c r="C822" s="2" t="s">
        <v>23</v>
      </c>
      <c r="D822" s="2" t="s">
        <v>124</v>
      </c>
      <c r="E822" s="2" t="s">
        <v>39</v>
      </c>
      <c r="F822" s="2" t="s">
        <v>17</v>
      </c>
      <c r="G822" s="2">
        <v>5</v>
      </c>
      <c r="H822" s="6">
        <v>39.99</v>
      </c>
      <c r="I822" s="4">
        <f t="shared" si="12"/>
        <v>199.95000000000002</v>
      </c>
      <c r="J822" s="2" t="s">
        <v>33</v>
      </c>
      <c r="K822" s="2" t="s">
        <v>28</v>
      </c>
      <c r="L822" s="2" t="s">
        <v>35</v>
      </c>
      <c r="M822" s="11" t="s">
        <v>697</v>
      </c>
    </row>
    <row r="823" spans="1:13" x14ac:dyDescent="0.25">
      <c r="A823" s="10">
        <v>1821</v>
      </c>
      <c r="B823" s="3">
        <v>45074</v>
      </c>
      <c r="C823" s="2" t="s">
        <v>23</v>
      </c>
      <c r="D823" s="2" t="s">
        <v>24</v>
      </c>
      <c r="E823" s="2" t="s">
        <v>127</v>
      </c>
      <c r="F823" s="2" t="s">
        <v>73</v>
      </c>
      <c r="G823" s="2">
        <v>1</v>
      </c>
      <c r="H823" s="6">
        <v>29.99</v>
      </c>
      <c r="I823" s="4">
        <f t="shared" si="12"/>
        <v>29.99</v>
      </c>
      <c r="J823" s="2" t="s">
        <v>27</v>
      </c>
      <c r="K823" s="2" t="s">
        <v>129</v>
      </c>
      <c r="L823" s="2" t="s">
        <v>35</v>
      </c>
      <c r="M823" s="11" t="s">
        <v>697</v>
      </c>
    </row>
    <row r="824" spans="1:13" x14ac:dyDescent="0.25">
      <c r="A824" s="10">
        <v>1822</v>
      </c>
      <c r="B824" s="3">
        <v>45382</v>
      </c>
      <c r="C824" s="2" t="s">
        <v>77</v>
      </c>
      <c r="D824" s="2" t="s">
        <v>114</v>
      </c>
      <c r="E824" s="2" t="s">
        <v>39</v>
      </c>
      <c r="F824" s="2" t="s">
        <v>17</v>
      </c>
      <c r="G824" s="2">
        <v>3</v>
      </c>
      <c r="H824" s="6">
        <v>39.99</v>
      </c>
      <c r="I824" s="4">
        <f t="shared" si="12"/>
        <v>119.97</v>
      </c>
      <c r="J824" s="2" t="s">
        <v>33</v>
      </c>
      <c r="K824" s="2" t="s">
        <v>45</v>
      </c>
      <c r="L824" s="2" t="s">
        <v>35</v>
      </c>
      <c r="M824" s="11" t="s">
        <v>697</v>
      </c>
    </row>
    <row r="825" spans="1:13" x14ac:dyDescent="0.25">
      <c r="A825" s="10">
        <v>1823</v>
      </c>
      <c r="B825" s="5" t="s">
        <v>697</v>
      </c>
      <c r="C825" s="2" t="s">
        <v>42</v>
      </c>
      <c r="D825" s="2" t="s">
        <v>116</v>
      </c>
      <c r="E825" s="2" t="s">
        <v>52</v>
      </c>
      <c r="F825" s="2" t="s">
        <v>53</v>
      </c>
      <c r="G825" s="2">
        <v>1</v>
      </c>
      <c r="H825" s="6">
        <v>59.99</v>
      </c>
      <c r="I825" s="4">
        <f t="shared" si="12"/>
        <v>59.99</v>
      </c>
      <c r="J825" s="2" t="s">
        <v>54</v>
      </c>
      <c r="K825" s="2" t="s">
        <v>45</v>
      </c>
      <c r="L825" s="2" t="s">
        <v>35</v>
      </c>
      <c r="M825" s="11" t="s">
        <v>697</v>
      </c>
    </row>
    <row r="826" spans="1:13" x14ac:dyDescent="0.25">
      <c r="A826" s="10">
        <v>1824</v>
      </c>
      <c r="B826" s="5" t="s">
        <v>697</v>
      </c>
      <c r="C826" s="2" t="s">
        <v>70</v>
      </c>
      <c r="D826" s="2" t="s">
        <v>88</v>
      </c>
      <c r="E826" s="2" t="s">
        <v>72</v>
      </c>
      <c r="F826" s="2" t="s">
        <v>73</v>
      </c>
      <c r="G826" s="2">
        <v>1</v>
      </c>
      <c r="H826" s="6">
        <v>49.99</v>
      </c>
      <c r="I826" s="4">
        <f t="shared" si="12"/>
        <v>49.99</v>
      </c>
      <c r="J826" s="2" t="s">
        <v>33</v>
      </c>
      <c r="K826" s="2" t="s">
        <v>28</v>
      </c>
      <c r="L826" s="2" t="s">
        <v>40</v>
      </c>
      <c r="M826" s="12" t="s">
        <v>63</v>
      </c>
    </row>
    <row r="827" spans="1:13" x14ac:dyDescent="0.25">
      <c r="A827" s="10">
        <v>1825</v>
      </c>
      <c r="B827" s="3">
        <v>45303</v>
      </c>
      <c r="C827" s="2" t="s">
        <v>65</v>
      </c>
      <c r="D827" s="2" t="s">
        <v>126</v>
      </c>
      <c r="E827" s="2" t="s">
        <v>52</v>
      </c>
      <c r="F827" s="2" t="s">
        <v>53</v>
      </c>
      <c r="G827" s="2">
        <v>5</v>
      </c>
      <c r="H827" s="6">
        <v>59.99</v>
      </c>
      <c r="I827" s="4">
        <f t="shared" si="12"/>
        <v>299.95</v>
      </c>
      <c r="J827" s="2" t="s">
        <v>54</v>
      </c>
      <c r="K827" s="2" t="s">
        <v>28</v>
      </c>
      <c r="L827" s="2" t="s">
        <v>35</v>
      </c>
      <c r="M827" s="11" t="s">
        <v>697</v>
      </c>
    </row>
    <row r="828" spans="1:13" x14ac:dyDescent="0.25">
      <c r="A828" s="10">
        <v>1826</v>
      </c>
      <c r="B828" s="3">
        <v>44979</v>
      </c>
      <c r="C828" s="2" t="s">
        <v>77</v>
      </c>
      <c r="D828" s="2" t="s">
        <v>78</v>
      </c>
      <c r="E828" s="2" t="s">
        <v>44</v>
      </c>
      <c r="F828" s="2" t="s">
        <v>17</v>
      </c>
      <c r="G828" s="2">
        <v>3</v>
      </c>
      <c r="H828" s="6">
        <v>15.99</v>
      </c>
      <c r="I828" s="4">
        <f t="shared" si="12"/>
        <v>47.97</v>
      </c>
      <c r="J828" s="2" t="s">
        <v>54</v>
      </c>
      <c r="K828" s="2" t="s">
        <v>34</v>
      </c>
      <c r="L828" s="2" t="s">
        <v>29</v>
      </c>
      <c r="M828" s="11" t="s">
        <v>697</v>
      </c>
    </row>
    <row r="829" spans="1:13" x14ac:dyDescent="0.25">
      <c r="A829" s="10">
        <v>1827</v>
      </c>
      <c r="B829" s="5" t="s">
        <v>697</v>
      </c>
      <c r="C829" s="2" t="s">
        <v>77</v>
      </c>
      <c r="D829" s="2" t="s">
        <v>114</v>
      </c>
      <c r="E829" s="2" t="s">
        <v>72</v>
      </c>
      <c r="F829" s="2" t="s">
        <v>73</v>
      </c>
      <c r="G829" s="2">
        <v>1</v>
      </c>
      <c r="H829" s="6">
        <v>49.99</v>
      </c>
      <c r="I829" s="4">
        <f t="shared" si="12"/>
        <v>49.99</v>
      </c>
      <c r="J829" s="2" t="s">
        <v>54</v>
      </c>
      <c r="K829" s="2" t="s">
        <v>45</v>
      </c>
      <c r="L829" s="2" t="s">
        <v>40</v>
      </c>
      <c r="M829" s="11" t="s">
        <v>697</v>
      </c>
    </row>
    <row r="830" spans="1:13" x14ac:dyDescent="0.25">
      <c r="A830" s="10">
        <v>1828</v>
      </c>
      <c r="B830" s="5" t="s">
        <v>697</v>
      </c>
      <c r="C830" s="2" t="s">
        <v>70</v>
      </c>
      <c r="D830" s="2" t="s">
        <v>88</v>
      </c>
      <c r="E830" s="2" t="s">
        <v>85</v>
      </c>
      <c r="F830" s="2" t="s">
        <v>26</v>
      </c>
      <c r="G830" s="2">
        <v>1</v>
      </c>
      <c r="H830" s="6">
        <v>99.99</v>
      </c>
      <c r="I830" s="4">
        <f t="shared" si="12"/>
        <v>99.99</v>
      </c>
      <c r="J830" s="2" t="s">
        <v>33</v>
      </c>
      <c r="K830" s="2" t="s">
        <v>45</v>
      </c>
      <c r="L830" s="2" t="s">
        <v>35</v>
      </c>
      <c r="M830" s="11" t="s">
        <v>697</v>
      </c>
    </row>
    <row r="831" spans="1:13" x14ac:dyDescent="0.25">
      <c r="A831" s="10">
        <v>1829</v>
      </c>
      <c r="B831" s="3">
        <v>45284</v>
      </c>
      <c r="C831" s="2" t="s">
        <v>42</v>
      </c>
      <c r="D831" s="2" t="s">
        <v>43</v>
      </c>
      <c r="E831" s="2" t="s">
        <v>52</v>
      </c>
      <c r="F831" s="2" t="s">
        <v>53</v>
      </c>
      <c r="G831" s="2">
        <v>4</v>
      </c>
      <c r="H831" s="6">
        <v>59.99</v>
      </c>
      <c r="I831" s="4">
        <f t="shared" si="12"/>
        <v>239.96</v>
      </c>
      <c r="J831" s="2" t="s">
        <v>33</v>
      </c>
      <c r="K831" s="2" t="s">
        <v>34</v>
      </c>
      <c r="L831" s="2" t="s">
        <v>29</v>
      </c>
      <c r="M831" s="11" t="s">
        <v>697</v>
      </c>
    </row>
    <row r="832" spans="1:13" x14ac:dyDescent="0.25">
      <c r="A832" s="10">
        <v>1830</v>
      </c>
      <c r="B832" s="5" t="s">
        <v>697</v>
      </c>
      <c r="C832" s="2" t="s">
        <v>42</v>
      </c>
      <c r="D832" s="2" t="s">
        <v>48</v>
      </c>
      <c r="E832" s="2" t="s">
        <v>44</v>
      </c>
      <c r="F832" s="2" t="s">
        <v>17</v>
      </c>
      <c r="G832" s="2">
        <v>2</v>
      </c>
      <c r="H832" s="6">
        <v>15.99</v>
      </c>
      <c r="I832" s="4">
        <f t="shared" si="12"/>
        <v>31.98</v>
      </c>
      <c r="J832" s="2" t="s">
        <v>54</v>
      </c>
      <c r="K832" s="2" t="s">
        <v>28</v>
      </c>
      <c r="L832" s="2" t="s">
        <v>40</v>
      </c>
      <c r="M832" s="11" t="s">
        <v>697</v>
      </c>
    </row>
    <row r="833" spans="1:13" x14ac:dyDescent="0.25">
      <c r="A833" s="10">
        <v>1831</v>
      </c>
      <c r="B833" s="3">
        <v>45046</v>
      </c>
      <c r="C833" s="2" t="s">
        <v>14</v>
      </c>
      <c r="D833" s="2" t="s">
        <v>84</v>
      </c>
      <c r="E833" s="2" t="s">
        <v>92</v>
      </c>
      <c r="F833" s="2" t="s">
        <v>26</v>
      </c>
      <c r="G833" s="2">
        <v>2</v>
      </c>
      <c r="H833" s="6">
        <v>14.99</v>
      </c>
      <c r="I833" s="4">
        <f t="shared" si="12"/>
        <v>29.98</v>
      </c>
      <c r="J833" s="2" t="s">
        <v>33</v>
      </c>
      <c r="K833" s="2" t="s">
        <v>45</v>
      </c>
      <c r="L833" s="2" t="s">
        <v>35</v>
      </c>
      <c r="M833" s="12" t="s">
        <v>63</v>
      </c>
    </row>
    <row r="834" spans="1:13" x14ac:dyDescent="0.25">
      <c r="A834" s="10">
        <v>1832</v>
      </c>
      <c r="B834" s="3">
        <v>45344</v>
      </c>
      <c r="C834" s="2" t="s">
        <v>37</v>
      </c>
      <c r="D834" s="2" t="s">
        <v>169</v>
      </c>
      <c r="E834" s="2" t="s">
        <v>92</v>
      </c>
      <c r="F834" s="2" t="s">
        <v>26</v>
      </c>
      <c r="G834" s="2">
        <v>1</v>
      </c>
      <c r="H834" s="6">
        <v>14.99</v>
      </c>
      <c r="I834" s="4">
        <f t="shared" si="12"/>
        <v>14.99</v>
      </c>
      <c r="J834" s="2" t="s">
        <v>33</v>
      </c>
      <c r="K834" s="2" t="s">
        <v>45</v>
      </c>
      <c r="L834" s="2" t="s">
        <v>35</v>
      </c>
      <c r="M834" s="11" t="s">
        <v>697</v>
      </c>
    </row>
    <row r="835" spans="1:13" x14ac:dyDescent="0.25">
      <c r="A835" s="10">
        <v>1833</v>
      </c>
      <c r="B835" s="3">
        <v>44945</v>
      </c>
      <c r="C835" s="2" t="s">
        <v>23</v>
      </c>
      <c r="D835" s="4" t="s">
        <v>697</v>
      </c>
      <c r="E835" s="2" t="s">
        <v>127</v>
      </c>
      <c r="F835" s="2" t="s">
        <v>73</v>
      </c>
      <c r="G835" s="2">
        <v>2</v>
      </c>
      <c r="H835" s="6">
        <v>29.99</v>
      </c>
      <c r="I835" s="4">
        <f t="shared" ref="I835:I898" si="13">IF(G835="N/A","N/A",PRODUCT(G835,H835))</f>
        <v>59.98</v>
      </c>
      <c r="J835" s="2" t="s">
        <v>54</v>
      </c>
      <c r="K835" s="2" t="s">
        <v>28</v>
      </c>
      <c r="L835" s="2" t="s">
        <v>40</v>
      </c>
      <c r="M835" s="11" t="s">
        <v>697</v>
      </c>
    </row>
    <row r="836" spans="1:13" x14ac:dyDescent="0.25">
      <c r="A836" s="10">
        <v>1834</v>
      </c>
      <c r="B836" s="3">
        <v>45331</v>
      </c>
      <c r="C836" s="2" t="s">
        <v>23</v>
      </c>
      <c r="D836" s="2" t="s">
        <v>124</v>
      </c>
      <c r="E836" s="2" t="s">
        <v>52</v>
      </c>
      <c r="F836" s="2" t="s">
        <v>53</v>
      </c>
      <c r="G836" s="2">
        <v>1</v>
      </c>
      <c r="H836" s="6">
        <v>59.99</v>
      </c>
      <c r="I836" s="4">
        <f t="shared" si="13"/>
        <v>59.99</v>
      </c>
      <c r="J836" s="2" t="s">
        <v>33</v>
      </c>
      <c r="K836" s="2" t="s">
        <v>45</v>
      </c>
      <c r="L836" s="2" t="s">
        <v>29</v>
      </c>
      <c r="M836" s="11" t="s">
        <v>697</v>
      </c>
    </row>
    <row r="837" spans="1:13" x14ac:dyDescent="0.25">
      <c r="A837" s="10">
        <v>1835</v>
      </c>
      <c r="B837" s="5" t="s">
        <v>697</v>
      </c>
      <c r="C837" s="2" t="s">
        <v>65</v>
      </c>
      <c r="D837" s="2" t="s">
        <v>66</v>
      </c>
      <c r="E837" s="2" t="s">
        <v>85</v>
      </c>
      <c r="F837" s="2" t="s">
        <v>26</v>
      </c>
      <c r="G837" s="2">
        <v>4</v>
      </c>
      <c r="H837" s="6">
        <v>99.99</v>
      </c>
      <c r="I837" s="4">
        <f t="shared" si="13"/>
        <v>399.96</v>
      </c>
      <c r="J837" s="2" t="s">
        <v>33</v>
      </c>
      <c r="K837" s="2" t="s">
        <v>28</v>
      </c>
      <c r="L837" s="2" t="s">
        <v>35</v>
      </c>
      <c r="M837" s="11" t="s">
        <v>697</v>
      </c>
    </row>
    <row r="838" spans="1:13" x14ac:dyDescent="0.25">
      <c r="A838" s="10">
        <v>1836</v>
      </c>
      <c r="B838" s="5" t="s">
        <v>697</v>
      </c>
      <c r="C838" s="2" t="s">
        <v>65</v>
      </c>
      <c r="D838" s="2" t="s">
        <v>126</v>
      </c>
      <c r="E838" s="2" t="s">
        <v>52</v>
      </c>
      <c r="F838" s="2" t="s">
        <v>53</v>
      </c>
      <c r="G838" s="2">
        <v>5</v>
      </c>
      <c r="H838" s="6">
        <v>59.99</v>
      </c>
      <c r="I838" s="4">
        <f t="shared" si="13"/>
        <v>299.95</v>
      </c>
      <c r="J838" s="2" t="s">
        <v>19</v>
      </c>
      <c r="K838" s="2" t="s">
        <v>45</v>
      </c>
      <c r="L838" s="2" t="s">
        <v>35</v>
      </c>
      <c r="M838" s="11" t="s">
        <v>697</v>
      </c>
    </row>
    <row r="839" spans="1:13" x14ac:dyDescent="0.25">
      <c r="A839" s="10">
        <v>1837</v>
      </c>
      <c r="B839" s="5" t="s">
        <v>697</v>
      </c>
      <c r="C839" s="2" t="s">
        <v>77</v>
      </c>
      <c r="D839" s="2" t="s">
        <v>78</v>
      </c>
      <c r="E839" s="2" t="s">
        <v>44</v>
      </c>
      <c r="F839" s="2" t="s">
        <v>17</v>
      </c>
      <c r="G839" s="2">
        <v>1</v>
      </c>
      <c r="H839" s="6">
        <v>15.99</v>
      </c>
      <c r="I839" s="4">
        <f t="shared" si="13"/>
        <v>15.99</v>
      </c>
      <c r="J839" s="2" t="s">
        <v>33</v>
      </c>
      <c r="K839" s="2" t="s">
        <v>129</v>
      </c>
      <c r="L839" s="2" t="s">
        <v>29</v>
      </c>
      <c r="M839" s="11" t="s">
        <v>697</v>
      </c>
    </row>
    <row r="840" spans="1:13" x14ac:dyDescent="0.25">
      <c r="A840" s="10">
        <v>1838</v>
      </c>
      <c r="B840" s="3">
        <v>45173</v>
      </c>
      <c r="C840" s="2" t="s">
        <v>65</v>
      </c>
      <c r="D840" s="2" t="s">
        <v>66</v>
      </c>
      <c r="E840" s="2" t="s">
        <v>82</v>
      </c>
      <c r="F840" s="2" t="s">
        <v>60</v>
      </c>
      <c r="G840" s="4" t="s">
        <v>697</v>
      </c>
      <c r="H840" s="6">
        <v>4.99</v>
      </c>
      <c r="I840" s="4" t="str">
        <f t="shared" si="13"/>
        <v>N/A</v>
      </c>
      <c r="J840" s="2" t="s">
        <v>33</v>
      </c>
      <c r="K840" s="2" t="s">
        <v>45</v>
      </c>
      <c r="L840" s="2" t="s">
        <v>40</v>
      </c>
      <c r="M840" s="11" t="s">
        <v>697</v>
      </c>
    </row>
    <row r="841" spans="1:13" x14ac:dyDescent="0.25">
      <c r="A841" s="10">
        <v>1839</v>
      </c>
      <c r="B841" s="5" t="s">
        <v>697</v>
      </c>
      <c r="C841" s="2" t="s">
        <v>65</v>
      </c>
      <c r="D841" s="2" t="s">
        <v>123</v>
      </c>
      <c r="E841" s="2" t="s">
        <v>44</v>
      </c>
      <c r="F841" s="2" t="s">
        <v>17</v>
      </c>
      <c r="G841" s="4" t="s">
        <v>697</v>
      </c>
      <c r="H841" s="6">
        <v>15.99</v>
      </c>
      <c r="I841" s="4" t="str">
        <f t="shared" si="13"/>
        <v>N/A</v>
      </c>
      <c r="J841" s="2" t="s">
        <v>19</v>
      </c>
      <c r="K841" s="2" t="s">
        <v>28</v>
      </c>
      <c r="L841" s="2" t="s">
        <v>40</v>
      </c>
      <c r="M841" s="11" t="s">
        <v>697</v>
      </c>
    </row>
    <row r="842" spans="1:13" x14ac:dyDescent="0.25">
      <c r="A842" s="10">
        <v>1840</v>
      </c>
      <c r="B842" s="3">
        <v>45074</v>
      </c>
      <c r="C842" s="2" t="s">
        <v>70</v>
      </c>
      <c r="D842" s="2" t="s">
        <v>71</v>
      </c>
      <c r="E842" s="2" t="s">
        <v>52</v>
      </c>
      <c r="F842" s="2" t="s">
        <v>53</v>
      </c>
      <c r="G842" s="4" t="s">
        <v>697</v>
      </c>
      <c r="H842" s="6">
        <v>59.99</v>
      </c>
      <c r="I842" s="4" t="str">
        <f t="shared" si="13"/>
        <v>N/A</v>
      </c>
      <c r="J842" s="2" t="s">
        <v>33</v>
      </c>
      <c r="K842" s="2" t="s">
        <v>34</v>
      </c>
      <c r="L842" s="2" t="s">
        <v>35</v>
      </c>
      <c r="M842" s="11" t="s">
        <v>697</v>
      </c>
    </row>
    <row r="843" spans="1:13" x14ac:dyDescent="0.25">
      <c r="A843" s="10">
        <v>1841</v>
      </c>
      <c r="B843" s="3">
        <v>45252</v>
      </c>
      <c r="C843" s="2" t="s">
        <v>70</v>
      </c>
      <c r="D843" s="2" t="s">
        <v>71</v>
      </c>
      <c r="E843" s="2" t="s">
        <v>127</v>
      </c>
      <c r="F843" s="2" t="s">
        <v>73</v>
      </c>
      <c r="G843" s="4" t="s">
        <v>697</v>
      </c>
      <c r="H843" s="6">
        <v>29.99</v>
      </c>
      <c r="I843" s="4" t="str">
        <f t="shared" si="13"/>
        <v>N/A</v>
      </c>
      <c r="J843" s="2" t="s">
        <v>33</v>
      </c>
      <c r="K843" s="2" t="s">
        <v>28</v>
      </c>
      <c r="L843" s="2" t="s">
        <v>29</v>
      </c>
      <c r="M843" s="12" t="s">
        <v>63</v>
      </c>
    </row>
    <row r="844" spans="1:13" x14ac:dyDescent="0.25">
      <c r="A844" s="10">
        <v>1842</v>
      </c>
      <c r="B844" s="3">
        <v>45305</v>
      </c>
      <c r="C844" s="2" t="s">
        <v>65</v>
      </c>
      <c r="D844" s="2" t="s">
        <v>126</v>
      </c>
      <c r="E844" s="2" t="s">
        <v>52</v>
      </c>
      <c r="F844" s="2" t="s">
        <v>53</v>
      </c>
      <c r="G844" s="2">
        <v>3</v>
      </c>
      <c r="H844" s="6">
        <v>59.99</v>
      </c>
      <c r="I844" s="4">
        <f t="shared" si="13"/>
        <v>179.97</v>
      </c>
      <c r="J844" s="2" t="s">
        <v>33</v>
      </c>
      <c r="K844" s="2" t="s">
        <v>55</v>
      </c>
      <c r="L844" s="2" t="s">
        <v>40</v>
      </c>
      <c r="M844" s="11" t="s">
        <v>697</v>
      </c>
    </row>
    <row r="845" spans="1:13" x14ac:dyDescent="0.25">
      <c r="A845" s="10">
        <v>1843</v>
      </c>
      <c r="B845" s="5" t="s">
        <v>697</v>
      </c>
      <c r="C845" s="2" t="s">
        <v>697</v>
      </c>
      <c r="D845" s="2" t="s">
        <v>84</v>
      </c>
      <c r="E845" s="2" t="s">
        <v>44</v>
      </c>
      <c r="F845" s="2" t="s">
        <v>17</v>
      </c>
      <c r="G845" s="2">
        <v>4</v>
      </c>
      <c r="H845" s="6">
        <v>15.99</v>
      </c>
      <c r="I845" s="4">
        <f t="shared" si="13"/>
        <v>63.96</v>
      </c>
      <c r="J845" s="2" t="s">
        <v>33</v>
      </c>
      <c r="K845" s="2" t="s">
        <v>28</v>
      </c>
      <c r="L845" s="2" t="s">
        <v>29</v>
      </c>
      <c r="M845" s="11" t="s">
        <v>697</v>
      </c>
    </row>
    <row r="846" spans="1:13" x14ac:dyDescent="0.25">
      <c r="A846" s="10">
        <v>1844</v>
      </c>
      <c r="B846" s="3">
        <v>45078</v>
      </c>
      <c r="C846" s="2" t="s">
        <v>697</v>
      </c>
      <c r="D846" s="2" t="s">
        <v>71</v>
      </c>
      <c r="E846" s="2" t="s">
        <v>52</v>
      </c>
      <c r="F846" s="2" t="s">
        <v>53</v>
      </c>
      <c r="G846" s="2">
        <v>1</v>
      </c>
      <c r="H846" s="6">
        <v>59.99</v>
      </c>
      <c r="I846" s="4">
        <f t="shared" si="13"/>
        <v>59.99</v>
      </c>
      <c r="J846" s="2" t="s">
        <v>54</v>
      </c>
      <c r="K846" s="2" t="s">
        <v>28</v>
      </c>
      <c r="L846" s="2" t="s">
        <v>35</v>
      </c>
      <c r="M846" s="11" t="s">
        <v>697</v>
      </c>
    </row>
    <row r="847" spans="1:13" x14ac:dyDescent="0.25">
      <c r="A847" s="10">
        <v>1845</v>
      </c>
      <c r="B847" s="3">
        <v>45219</v>
      </c>
      <c r="C847" s="2" t="s">
        <v>65</v>
      </c>
      <c r="D847" s="2" t="s">
        <v>66</v>
      </c>
      <c r="E847" s="2" t="s">
        <v>44</v>
      </c>
      <c r="F847" s="2" t="s">
        <v>17</v>
      </c>
      <c r="G847" s="2">
        <v>5</v>
      </c>
      <c r="H847" s="6">
        <v>15.99</v>
      </c>
      <c r="I847" s="4">
        <f t="shared" si="13"/>
        <v>79.95</v>
      </c>
      <c r="J847" s="2" t="s">
        <v>33</v>
      </c>
      <c r="K847" s="2" t="s">
        <v>55</v>
      </c>
      <c r="L847" s="2" t="s">
        <v>35</v>
      </c>
      <c r="M847" s="12" t="s">
        <v>63</v>
      </c>
    </row>
    <row r="848" spans="1:13" x14ac:dyDescent="0.25">
      <c r="A848" s="10">
        <v>1846</v>
      </c>
      <c r="B848" s="3">
        <v>45006</v>
      </c>
      <c r="C848" s="2" t="s">
        <v>23</v>
      </c>
      <c r="D848" s="2" t="s">
        <v>124</v>
      </c>
      <c r="E848" s="2" t="s">
        <v>44</v>
      </c>
      <c r="F848" s="2" t="s">
        <v>17</v>
      </c>
      <c r="G848" s="4" t="s">
        <v>697</v>
      </c>
      <c r="H848" s="6">
        <v>15.99</v>
      </c>
      <c r="I848" s="4" t="str">
        <f t="shared" si="13"/>
        <v>N/A</v>
      </c>
      <c r="J848" s="2" t="s">
        <v>33</v>
      </c>
      <c r="K848" s="2" t="s">
        <v>45</v>
      </c>
      <c r="L848" s="2" t="s">
        <v>35</v>
      </c>
      <c r="M848" s="11" t="s">
        <v>697</v>
      </c>
    </row>
    <row r="849" spans="1:13" x14ac:dyDescent="0.25">
      <c r="A849" s="10">
        <v>1847</v>
      </c>
      <c r="B849" s="3">
        <v>45320</v>
      </c>
      <c r="C849" s="2" t="s">
        <v>65</v>
      </c>
      <c r="D849" s="2" t="s">
        <v>66</v>
      </c>
      <c r="E849" s="2" t="s">
        <v>52</v>
      </c>
      <c r="F849" s="2" t="s">
        <v>53</v>
      </c>
      <c r="G849" s="2">
        <v>2</v>
      </c>
      <c r="H849" s="6">
        <v>59.99</v>
      </c>
      <c r="I849" s="4">
        <f t="shared" si="13"/>
        <v>119.98</v>
      </c>
      <c r="J849" s="2" t="s">
        <v>54</v>
      </c>
      <c r="K849" s="2" t="s">
        <v>55</v>
      </c>
      <c r="L849" s="2" t="s">
        <v>29</v>
      </c>
      <c r="M849" s="11" t="s">
        <v>697</v>
      </c>
    </row>
    <row r="850" spans="1:13" x14ac:dyDescent="0.25">
      <c r="A850" s="10">
        <v>1848</v>
      </c>
      <c r="B850" s="3">
        <v>45316</v>
      </c>
      <c r="C850" s="2" t="s">
        <v>37</v>
      </c>
      <c r="D850" s="2" t="s">
        <v>38</v>
      </c>
      <c r="E850" s="2" t="s">
        <v>72</v>
      </c>
      <c r="F850" s="2" t="s">
        <v>73</v>
      </c>
      <c r="G850" s="2">
        <v>2</v>
      </c>
      <c r="H850" s="6">
        <v>49.99</v>
      </c>
      <c r="I850" s="4">
        <f t="shared" si="13"/>
        <v>99.98</v>
      </c>
      <c r="J850" s="2" t="s">
        <v>33</v>
      </c>
      <c r="K850" s="2" t="s">
        <v>28</v>
      </c>
      <c r="L850" s="2" t="s">
        <v>35</v>
      </c>
      <c r="M850" s="11" t="s">
        <v>697</v>
      </c>
    </row>
    <row r="851" spans="1:13" x14ac:dyDescent="0.25">
      <c r="A851" s="10">
        <v>1849</v>
      </c>
      <c r="B851" s="5" t="s">
        <v>697</v>
      </c>
      <c r="C851" s="2" t="s">
        <v>70</v>
      </c>
      <c r="D851" s="4" t="s">
        <v>697</v>
      </c>
      <c r="E851" s="2" t="s">
        <v>44</v>
      </c>
      <c r="F851" s="2" t="s">
        <v>17</v>
      </c>
      <c r="G851" s="4" t="s">
        <v>697</v>
      </c>
      <c r="H851" s="6">
        <v>15.99</v>
      </c>
      <c r="I851" s="4" t="str">
        <f t="shared" si="13"/>
        <v>N/A</v>
      </c>
      <c r="J851" s="2" t="s">
        <v>33</v>
      </c>
      <c r="K851" s="2" t="s">
        <v>28</v>
      </c>
      <c r="L851" s="2" t="s">
        <v>35</v>
      </c>
      <c r="M851" s="11" t="s">
        <v>697</v>
      </c>
    </row>
    <row r="852" spans="1:13" x14ac:dyDescent="0.25">
      <c r="A852" s="10">
        <v>1850</v>
      </c>
      <c r="B852" s="3">
        <v>45076</v>
      </c>
      <c r="C852" s="2" t="s">
        <v>70</v>
      </c>
      <c r="D852" s="2" t="s">
        <v>131</v>
      </c>
      <c r="E852" s="2" t="s">
        <v>85</v>
      </c>
      <c r="F852" s="2" t="s">
        <v>26</v>
      </c>
      <c r="G852" s="2">
        <v>2</v>
      </c>
      <c r="H852" s="6">
        <v>99.99</v>
      </c>
      <c r="I852" s="4">
        <f t="shared" si="13"/>
        <v>199.98</v>
      </c>
      <c r="J852" s="2" t="s">
        <v>33</v>
      </c>
      <c r="K852" s="2" t="s">
        <v>55</v>
      </c>
      <c r="L852" s="2" t="s">
        <v>29</v>
      </c>
      <c r="M852" s="11" t="s">
        <v>697</v>
      </c>
    </row>
    <row r="853" spans="1:13" x14ac:dyDescent="0.25">
      <c r="A853" s="10">
        <v>1851</v>
      </c>
      <c r="B853" s="3">
        <v>45164</v>
      </c>
      <c r="C853" s="2" t="s">
        <v>37</v>
      </c>
      <c r="D853" s="2" t="s">
        <v>38</v>
      </c>
      <c r="E853" s="2" t="s">
        <v>92</v>
      </c>
      <c r="F853" s="2" t="s">
        <v>26</v>
      </c>
      <c r="G853" s="2">
        <v>5</v>
      </c>
      <c r="H853" s="6">
        <v>14.99</v>
      </c>
      <c r="I853" s="4">
        <f t="shared" si="13"/>
        <v>74.95</v>
      </c>
      <c r="J853" s="2" t="s">
        <v>27</v>
      </c>
      <c r="K853" s="2" t="s">
        <v>28</v>
      </c>
      <c r="L853" s="2" t="s">
        <v>35</v>
      </c>
      <c r="M853" s="11" t="s">
        <v>697</v>
      </c>
    </row>
    <row r="854" spans="1:13" x14ac:dyDescent="0.25">
      <c r="A854" s="10">
        <v>1852</v>
      </c>
      <c r="B854" s="3">
        <v>45316</v>
      </c>
      <c r="C854" s="2" t="s">
        <v>77</v>
      </c>
      <c r="D854" s="2" t="s">
        <v>78</v>
      </c>
      <c r="E854" s="2" t="s">
        <v>44</v>
      </c>
      <c r="F854" s="2" t="s">
        <v>17</v>
      </c>
      <c r="G854" s="4" t="s">
        <v>697</v>
      </c>
      <c r="H854" s="6">
        <v>15.99</v>
      </c>
      <c r="I854" s="4" t="str">
        <f t="shared" si="13"/>
        <v>N/A</v>
      </c>
      <c r="J854" s="2" t="s">
        <v>33</v>
      </c>
      <c r="K854" s="2" t="s">
        <v>34</v>
      </c>
      <c r="L854" s="2" t="s">
        <v>35</v>
      </c>
      <c r="M854" s="11" t="s">
        <v>697</v>
      </c>
    </row>
    <row r="855" spans="1:13" x14ac:dyDescent="0.25">
      <c r="A855" s="10">
        <v>1853</v>
      </c>
      <c r="B855" s="3">
        <v>45381</v>
      </c>
      <c r="C855" s="2" t="s">
        <v>70</v>
      </c>
      <c r="D855" s="2" t="s">
        <v>131</v>
      </c>
      <c r="E855" s="2" t="s">
        <v>85</v>
      </c>
      <c r="F855" s="2" t="s">
        <v>26</v>
      </c>
      <c r="G855" s="2">
        <v>1</v>
      </c>
      <c r="H855" s="6">
        <v>99.99</v>
      </c>
      <c r="I855" s="4">
        <f t="shared" si="13"/>
        <v>99.99</v>
      </c>
      <c r="J855" s="2" t="s">
        <v>33</v>
      </c>
      <c r="K855" s="2" t="s">
        <v>45</v>
      </c>
      <c r="L855" s="2" t="s">
        <v>29</v>
      </c>
      <c r="M855" s="11" t="s">
        <v>697</v>
      </c>
    </row>
    <row r="856" spans="1:13" x14ac:dyDescent="0.25">
      <c r="A856" s="10">
        <v>1854</v>
      </c>
      <c r="B856" s="3">
        <v>45020</v>
      </c>
      <c r="C856" s="2" t="s">
        <v>65</v>
      </c>
      <c r="D856" s="2" t="s">
        <v>123</v>
      </c>
      <c r="E856" s="2" t="s">
        <v>82</v>
      </c>
      <c r="F856" s="2" t="s">
        <v>60</v>
      </c>
      <c r="G856" s="2">
        <v>1</v>
      </c>
      <c r="H856" s="6">
        <v>4.99</v>
      </c>
      <c r="I856" s="4">
        <f t="shared" si="13"/>
        <v>4.99</v>
      </c>
      <c r="J856" s="2" t="s">
        <v>33</v>
      </c>
      <c r="K856" s="2" t="s">
        <v>28</v>
      </c>
      <c r="L856" s="2" t="s">
        <v>29</v>
      </c>
      <c r="M856" s="11" t="s">
        <v>697</v>
      </c>
    </row>
    <row r="857" spans="1:13" x14ac:dyDescent="0.25">
      <c r="A857" s="10">
        <v>1855</v>
      </c>
      <c r="B857" s="3">
        <v>45300</v>
      </c>
      <c r="C857" s="2" t="s">
        <v>42</v>
      </c>
      <c r="D857" s="2" t="s">
        <v>43</v>
      </c>
      <c r="E857" s="2" t="s">
        <v>82</v>
      </c>
      <c r="F857" s="2" t="s">
        <v>60</v>
      </c>
      <c r="G857" s="2">
        <v>4</v>
      </c>
      <c r="H857" s="6">
        <v>4.99</v>
      </c>
      <c r="I857" s="4">
        <f t="shared" si="13"/>
        <v>19.96</v>
      </c>
      <c r="J857" s="2" t="s">
        <v>33</v>
      </c>
      <c r="K857" s="2" t="s">
        <v>55</v>
      </c>
      <c r="L857" s="2" t="s">
        <v>35</v>
      </c>
      <c r="M857" s="11" t="s">
        <v>697</v>
      </c>
    </row>
    <row r="858" spans="1:13" x14ac:dyDescent="0.25">
      <c r="A858" s="10">
        <v>1856</v>
      </c>
      <c r="B858" s="3">
        <v>45045</v>
      </c>
      <c r="C858" s="2" t="s">
        <v>42</v>
      </c>
      <c r="D858" s="4" t="s">
        <v>697</v>
      </c>
      <c r="E858" s="2" t="s">
        <v>92</v>
      </c>
      <c r="F858" s="2" t="s">
        <v>26</v>
      </c>
      <c r="G858" s="4" t="s">
        <v>697</v>
      </c>
      <c r="H858" s="6">
        <v>14.99</v>
      </c>
      <c r="I858" s="4" t="str">
        <f t="shared" si="13"/>
        <v>N/A</v>
      </c>
      <c r="J858" s="2" t="s">
        <v>19</v>
      </c>
      <c r="K858" s="2" t="s">
        <v>45</v>
      </c>
      <c r="L858" s="2" t="s">
        <v>35</v>
      </c>
      <c r="M858" s="11" t="s">
        <v>697</v>
      </c>
    </row>
    <row r="859" spans="1:13" x14ac:dyDescent="0.25">
      <c r="A859" s="10">
        <v>1857</v>
      </c>
      <c r="B859" s="3">
        <v>45001</v>
      </c>
      <c r="C859" s="2" t="s">
        <v>23</v>
      </c>
      <c r="D859" s="4" t="s">
        <v>697</v>
      </c>
      <c r="E859" s="2" t="s">
        <v>44</v>
      </c>
      <c r="F859" s="2" t="s">
        <v>17</v>
      </c>
      <c r="G859" s="2">
        <v>1</v>
      </c>
      <c r="H859" s="6">
        <v>15.99</v>
      </c>
      <c r="I859" s="4">
        <f t="shared" si="13"/>
        <v>15.99</v>
      </c>
      <c r="J859" s="2" t="s">
        <v>19</v>
      </c>
      <c r="K859" s="2" t="s">
        <v>28</v>
      </c>
      <c r="L859" s="2" t="s">
        <v>35</v>
      </c>
      <c r="M859" s="11" t="s">
        <v>697</v>
      </c>
    </row>
    <row r="860" spans="1:13" x14ac:dyDescent="0.25">
      <c r="A860" s="10">
        <v>1858</v>
      </c>
      <c r="B860" s="3">
        <v>45266</v>
      </c>
      <c r="C860" s="2" t="s">
        <v>37</v>
      </c>
      <c r="D860" s="2" t="s">
        <v>162</v>
      </c>
      <c r="E860" s="2" t="s">
        <v>85</v>
      </c>
      <c r="F860" s="2" t="s">
        <v>26</v>
      </c>
      <c r="G860" s="2">
        <v>5</v>
      </c>
      <c r="H860" s="6">
        <v>99.99</v>
      </c>
      <c r="I860" s="4">
        <f t="shared" si="13"/>
        <v>499.95</v>
      </c>
      <c r="J860" s="2" t="s">
        <v>33</v>
      </c>
      <c r="K860" s="2" t="s">
        <v>28</v>
      </c>
      <c r="L860" s="2" t="s">
        <v>35</v>
      </c>
      <c r="M860" s="11" t="s">
        <v>697</v>
      </c>
    </row>
    <row r="861" spans="1:13" x14ac:dyDescent="0.25">
      <c r="A861" s="10">
        <v>1859</v>
      </c>
      <c r="B861" s="3">
        <v>45025</v>
      </c>
      <c r="C861" s="2" t="s">
        <v>42</v>
      </c>
      <c r="D861" s="2" t="s">
        <v>116</v>
      </c>
      <c r="E861" s="2" t="s">
        <v>31</v>
      </c>
      <c r="F861" s="2" t="s">
        <v>32</v>
      </c>
      <c r="G861" s="4" t="s">
        <v>697</v>
      </c>
      <c r="H861" s="6">
        <v>79.989999999999995</v>
      </c>
      <c r="I861" s="4" t="str">
        <f t="shared" si="13"/>
        <v>N/A</v>
      </c>
      <c r="J861" s="2" t="s">
        <v>33</v>
      </c>
      <c r="K861" s="2" t="s">
        <v>28</v>
      </c>
      <c r="L861" s="2" t="s">
        <v>35</v>
      </c>
      <c r="M861" s="11" t="s">
        <v>697</v>
      </c>
    </row>
    <row r="862" spans="1:13" x14ac:dyDescent="0.25">
      <c r="A862" s="10">
        <v>1860</v>
      </c>
      <c r="B862" s="3">
        <v>45189</v>
      </c>
      <c r="C862" s="2" t="s">
        <v>77</v>
      </c>
      <c r="D862" s="2" t="s">
        <v>114</v>
      </c>
      <c r="E862" s="2" t="s">
        <v>44</v>
      </c>
      <c r="F862" s="2" t="s">
        <v>17</v>
      </c>
      <c r="G862" s="4" t="s">
        <v>697</v>
      </c>
      <c r="H862" s="6">
        <v>15.99</v>
      </c>
      <c r="I862" s="4" t="str">
        <f t="shared" si="13"/>
        <v>N/A</v>
      </c>
      <c r="J862" s="2" t="s">
        <v>33</v>
      </c>
      <c r="K862" s="2" t="s">
        <v>55</v>
      </c>
      <c r="L862" s="2" t="s">
        <v>29</v>
      </c>
      <c r="M862" s="11" t="s">
        <v>697</v>
      </c>
    </row>
    <row r="863" spans="1:13" x14ac:dyDescent="0.25">
      <c r="A863" s="10">
        <v>1861</v>
      </c>
      <c r="B863" s="3">
        <v>45334</v>
      </c>
      <c r="C863" s="2" t="s">
        <v>42</v>
      </c>
      <c r="D863" s="2" t="s">
        <v>116</v>
      </c>
      <c r="E863" s="2" t="s">
        <v>31</v>
      </c>
      <c r="F863" s="2" t="s">
        <v>32</v>
      </c>
      <c r="G863" s="2">
        <v>3</v>
      </c>
      <c r="H863" s="6">
        <v>79.989999999999995</v>
      </c>
      <c r="I863" s="4">
        <f t="shared" si="13"/>
        <v>239.96999999999997</v>
      </c>
      <c r="J863" s="2" t="s">
        <v>19</v>
      </c>
      <c r="K863" s="2" t="s">
        <v>45</v>
      </c>
      <c r="L863" s="2" t="s">
        <v>35</v>
      </c>
      <c r="M863" s="12" t="s">
        <v>63</v>
      </c>
    </row>
    <row r="864" spans="1:13" x14ac:dyDescent="0.25">
      <c r="A864" s="10">
        <v>1862</v>
      </c>
      <c r="B864" s="5" t="s">
        <v>697</v>
      </c>
      <c r="C864" s="2" t="s">
        <v>77</v>
      </c>
      <c r="D864" s="2" t="s">
        <v>78</v>
      </c>
      <c r="E864" s="2" t="s">
        <v>127</v>
      </c>
      <c r="F864" s="2" t="s">
        <v>73</v>
      </c>
      <c r="G864" s="2">
        <v>1</v>
      </c>
      <c r="H864" s="6">
        <v>29.99</v>
      </c>
      <c r="I864" s="4">
        <f t="shared" si="13"/>
        <v>29.99</v>
      </c>
      <c r="J864" s="2" t="s">
        <v>33</v>
      </c>
      <c r="K864" s="2" t="s">
        <v>34</v>
      </c>
      <c r="L864" s="2" t="s">
        <v>40</v>
      </c>
      <c r="M864" s="11" t="s">
        <v>697</v>
      </c>
    </row>
    <row r="865" spans="1:13" x14ac:dyDescent="0.25">
      <c r="A865" s="10">
        <v>1863</v>
      </c>
      <c r="B865" s="5" t="s">
        <v>697</v>
      </c>
      <c r="C865" s="2" t="s">
        <v>23</v>
      </c>
      <c r="D865" s="2" t="s">
        <v>24</v>
      </c>
      <c r="E865" s="2" t="s">
        <v>92</v>
      </c>
      <c r="F865" s="2" t="s">
        <v>26</v>
      </c>
      <c r="G865" s="2">
        <v>3</v>
      </c>
      <c r="H865" s="6">
        <v>14.99</v>
      </c>
      <c r="I865" s="4">
        <f t="shared" si="13"/>
        <v>44.97</v>
      </c>
      <c r="J865" s="2" t="s">
        <v>33</v>
      </c>
      <c r="K865" s="2" t="s">
        <v>28</v>
      </c>
      <c r="L865" s="2" t="s">
        <v>29</v>
      </c>
      <c r="M865" s="11" t="s">
        <v>697</v>
      </c>
    </row>
    <row r="866" spans="1:13" x14ac:dyDescent="0.25">
      <c r="A866" s="10">
        <v>1864</v>
      </c>
      <c r="B866" s="3">
        <v>45024</v>
      </c>
      <c r="C866" s="2" t="s">
        <v>70</v>
      </c>
      <c r="D866" s="2" t="s">
        <v>131</v>
      </c>
      <c r="E866" s="2" t="s">
        <v>92</v>
      </c>
      <c r="F866" s="2" t="s">
        <v>26</v>
      </c>
      <c r="G866" s="2">
        <v>4</v>
      </c>
      <c r="H866" s="6">
        <v>14.99</v>
      </c>
      <c r="I866" s="4">
        <f t="shared" si="13"/>
        <v>59.96</v>
      </c>
      <c r="J866" s="2" t="s">
        <v>33</v>
      </c>
      <c r="K866" s="2" t="s">
        <v>129</v>
      </c>
      <c r="L866" s="2" t="s">
        <v>35</v>
      </c>
      <c r="M866" s="11" t="s">
        <v>697</v>
      </c>
    </row>
    <row r="867" spans="1:13" x14ac:dyDescent="0.25">
      <c r="A867" s="10">
        <v>1865</v>
      </c>
      <c r="B867" s="3">
        <v>45262</v>
      </c>
      <c r="C867" s="2" t="s">
        <v>14</v>
      </c>
      <c r="D867" s="2" t="s">
        <v>75</v>
      </c>
      <c r="E867" s="2" t="s">
        <v>31</v>
      </c>
      <c r="F867" s="2" t="s">
        <v>32</v>
      </c>
      <c r="G867" s="2">
        <v>3</v>
      </c>
      <c r="H867" s="6">
        <v>79.989999999999995</v>
      </c>
      <c r="I867" s="4">
        <f t="shared" si="13"/>
        <v>239.96999999999997</v>
      </c>
      <c r="J867" s="2" t="s">
        <v>33</v>
      </c>
      <c r="K867" s="2" t="s">
        <v>28</v>
      </c>
      <c r="L867" s="2" t="s">
        <v>29</v>
      </c>
      <c r="M867" s="11" t="s">
        <v>697</v>
      </c>
    </row>
    <row r="868" spans="1:13" x14ac:dyDescent="0.25">
      <c r="A868" s="10">
        <v>1866</v>
      </c>
      <c r="B868" s="3">
        <v>45274</v>
      </c>
      <c r="C868" s="2" t="s">
        <v>23</v>
      </c>
      <c r="D868" s="2" t="s">
        <v>124</v>
      </c>
      <c r="E868" s="2" t="s">
        <v>82</v>
      </c>
      <c r="F868" s="2" t="s">
        <v>60</v>
      </c>
      <c r="G868" s="2">
        <v>1</v>
      </c>
      <c r="H868" s="6">
        <v>4.99</v>
      </c>
      <c r="I868" s="4">
        <f t="shared" si="13"/>
        <v>4.99</v>
      </c>
      <c r="J868" s="2" t="s">
        <v>54</v>
      </c>
      <c r="K868" s="2" t="s">
        <v>28</v>
      </c>
      <c r="L868" s="2" t="s">
        <v>35</v>
      </c>
      <c r="M868" s="11" t="s">
        <v>697</v>
      </c>
    </row>
    <row r="869" spans="1:13" x14ac:dyDescent="0.25">
      <c r="A869" s="10">
        <v>1867</v>
      </c>
      <c r="B869" s="5" t="s">
        <v>697</v>
      </c>
      <c r="C869" s="2" t="s">
        <v>23</v>
      </c>
      <c r="D869" s="2" t="s">
        <v>24</v>
      </c>
      <c r="E869" s="2" t="s">
        <v>44</v>
      </c>
      <c r="F869" s="2" t="s">
        <v>17</v>
      </c>
      <c r="G869" s="2">
        <v>1</v>
      </c>
      <c r="H869" s="6">
        <v>15.99</v>
      </c>
      <c r="I869" s="4">
        <f t="shared" si="13"/>
        <v>15.99</v>
      </c>
      <c r="J869" s="2" t="s">
        <v>33</v>
      </c>
      <c r="K869" s="2" t="s">
        <v>45</v>
      </c>
      <c r="L869" s="2" t="s">
        <v>35</v>
      </c>
      <c r="M869" s="11" t="s">
        <v>697</v>
      </c>
    </row>
    <row r="870" spans="1:13" x14ac:dyDescent="0.25">
      <c r="A870" s="10">
        <v>1868</v>
      </c>
      <c r="B870" s="5" t="s">
        <v>697</v>
      </c>
      <c r="C870" s="2" t="s">
        <v>77</v>
      </c>
      <c r="D870" s="2" t="s">
        <v>78</v>
      </c>
      <c r="E870" s="2" t="s">
        <v>72</v>
      </c>
      <c r="F870" s="2" t="s">
        <v>73</v>
      </c>
      <c r="G870" s="2">
        <v>3</v>
      </c>
      <c r="H870" s="6">
        <v>49.99</v>
      </c>
      <c r="I870" s="4">
        <f t="shared" si="13"/>
        <v>149.97</v>
      </c>
      <c r="J870" s="2" t="s">
        <v>54</v>
      </c>
      <c r="K870" s="2" t="s">
        <v>129</v>
      </c>
      <c r="L870" s="2" t="s">
        <v>29</v>
      </c>
      <c r="M870" s="11" t="s">
        <v>697</v>
      </c>
    </row>
    <row r="871" spans="1:13" x14ac:dyDescent="0.25">
      <c r="A871" s="10">
        <v>1869</v>
      </c>
      <c r="B871" s="5" t="s">
        <v>697</v>
      </c>
      <c r="C871" s="2" t="s">
        <v>23</v>
      </c>
      <c r="D871" s="4" t="s">
        <v>697</v>
      </c>
      <c r="E871" s="2" t="s">
        <v>92</v>
      </c>
      <c r="F871" s="2" t="s">
        <v>26</v>
      </c>
      <c r="G871" s="2">
        <v>3</v>
      </c>
      <c r="H871" s="6">
        <v>14.99</v>
      </c>
      <c r="I871" s="4">
        <f t="shared" si="13"/>
        <v>44.97</v>
      </c>
      <c r="J871" s="2" t="s">
        <v>54</v>
      </c>
      <c r="K871" s="2" t="s">
        <v>28</v>
      </c>
      <c r="L871" s="2" t="s">
        <v>35</v>
      </c>
      <c r="M871" s="11" t="s">
        <v>697</v>
      </c>
    </row>
    <row r="872" spans="1:13" x14ac:dyDescent="0.25">
      <c r="A872" s="10">
        <v>1870</v>
      </c>
      <c r="B872" s="5" t="s">
        <v>697</v>
      </c>
      <c r="C872" s="2" t="s">
        <v>65</v>
      </c>
      <c r="D872" s="2" t="s">
        <v>126</v>
      </c>
      <c r="E872" s="2" t="s">
        <v>127</v>
      </c>
      <c r="F872" s="2" t="s">
        <v>73</v>
      </c>
      <c r="G872" s="2">
        <v>1</v>
      </c>
      <c r="H872" s="6">
        <v>29.99</v>
      </c>
      <c r="I872" s="4">
        <f t="shared" si="13"/>
        <v>29.99</v>
      </c>
      <c r="J872" s="2" t="s">
        <v>33</v>
      </c>
      <c r="K872" s="2" t="s">
        <v>45</v>
      </c>
      <c r="L872" s="2" t="s">
        <v>35</v>
      </c>
      <c r="M872" s="11" t="s">
        <v>697</v>
      </c>
    </row>
    <row r="873" spans="1:13" x14ac:dyDescent="0.25">
      <c r="A873" s="10">
        <v>1871</v>
      </c>
      <c r="B873" s="3">
        <v>45136</v>
      </c>
      <c r="C873" s="2" t="s">
        <v>70</v>
      </c>
      <c r="D873" s="2" t="s">
        <v>71</v>
      </c>
      <c r="E873" s="2" t="s">
        <v>31</v>
      </c>
      <c r="F873" s="2" t="s">
        <v>32</v>
      </c>
      <c r="G873" s="2">
        <v>4</v>
      </c>
      <c r="H873" s="6">
        <v>79.989999999999995</v>
      </c>
      <c r="I873" s="4">
        <f t="shared" si="13"/>
        <v>319.95999999999998</v>
      </c>
      <c r="J873" s="2" t="s">
        <v>27</v>
      </c>
      <c r="K873" s="2" t="s">
        <v>28</v>
      </c>
      <c r="L873" s="2" t="s">
        <v>35</v>
      </c>
      <c r="M873" s="12" t="s">
        <v>63</v>
      </c>
    </row>
    <row r="874" spans="1:13" x14ac:dyDescent="0.25">
      <c r="A874" s="10">
        <v>1872</v>
      </c>
      <c r="B874" s="3">
        <v>45272</v>
      </c>
      <c r="C874" s="2" t="s">
        <v>697</v>
      </c>
      <c r="D874" s="2" t="s">
        <v>38</v>
      </c>
      <c r="E874" s="2" t="s">
        <v>44</v>
      </c>
      <c r="F874" s="2" t="s">
        <v>17</v>
      </c>
      <c r="G874" s="2">
        <v>3</v>
      </c>
      <c r="H874" s="6">
        <v>15.99</v>
      </c>
      <c r="I874" s="4">
        <f t="shared" si="13"/>
        <v>47.97</v>
      </c>
      <c r="J874" s="2" t="s">
        <v>27</v>
      </c>
      <c r="K874" s="2" t="s">
        <v>28</v>
      </c>
      <c r="L874" s="2" t="s">
        <v>35</v>
      </c>
      <c r="M874" s="11" t="s">
        <v>697</v>
      </c>
    </row>
    <row r="875" spans="1:13" x14ac:dyDescent="0.25">
      <c r="A875" s="10">
        <v>1873</v>
      </c>
      <c r="B875" s="3">
        <v>45382</v>
      </c>
      <c r="C875" s="2" t="s">
        <v>23</v>
      </c>
      <c r="D875" s="2" t="s">
        <v>24</v>
      </c>
      <c r="E875" s="2" t="s">
        <v>85</v>
      </c>
      <c r="F875" s="2" t="s">
        <v>26</v>
      </c>
      <c r="G875" s="4" t="s">
        <v>697</v>
      </c>
      <c r="H875" s="6">
        <v>99.99</v>
      </c>
      <c r="I875" s="4" t="str">
        <f t="shared" si="13"/>
        <v>N/A</v>
      </c>
      <c r="J875" s="2" t="s">
        <v>33</v>
      </c>
      <c r="K875" s="2" t="s">
        <v>28</v>
      </c>
      <c r="L875" s="2" t="s">
        <v>35</v>
      </c>
      <c r="M875" s="11" t="s">
        <v>697</v>
      </c>
    </row>
    <row r="876" spans="1:13" x14ac:dyDescent="0.25">
      <c r="A876" s="10">
        <v>1874</v>
      </c>
      <c r="B876" s="3">
        <v>45170</v>
      </c>
      <c r="C876" s="2" t="s">
        <v>77</v>
      </c>
      <c r="D876" s="2" t="s">
        <v>91</v>
      </c>
      <c r="E876" s="2" t="s">
        <v>31</v>
      </c>
      <c r="F876" s="2" t="s">
        <v>32</v>
      </c>
      <c r="G876" s="2">
        <v>4</v>
      </c>
      <c r="H876" s="6">
        <v>79.989999999999995</v>
      </c>
      <c r="I876" s="4">
        <f t="shared" si="13"/>
        <v>319.95999999999998</v>
      </c>
      <c r="J876" s="2" t="s">
        <v>54</v>
      </c>
      <c r="K876" s="2" t="s">
        <v>55</v>
      </c>
      <c r="L876" s="2" t="s">
        <v>35</v>
      </c>
      <c r="M876" s="12" t="s">
        <v>63</v>
      </c>
    </row>
    <row r="877" spans="1:13" x14ac:dyDescent="0.25">
      <c r="A877" s="10">
        <v>1875</v>
      </c>
      <c r="B877" s="5" t="s">
        <v>697</v>
      </c>
      <c r="C877" s="2" t="s">
        <v>42</v>
      </c>
      <c r="D877" s="2" t="s">
        <v>116</v>
      </c>
      <c r="E877" s="2" t="s">
        <v>127</v>
      </c>
      <c r="F877" s="2" t="s">
        <v>73</v>
      </c>
      <c r="G877" s="2">
        <v>2</v>
      </c>
      <c r="H877" s="6">
        <v>29.99</v>
      </c>
      <c r="I877" s="4">
        <f t="shared" si="13"/>
        <v>59.98</v>
      </c>
      <c r="J877" s="2" t="s">
        <v>27</v>
      </c>
      <c r="K877" s="2" t="s">
        <v>28</v>
      </c>
      <c r="L877" s="2" t="s">
        <v>35</v>
      </c>
      <c r="M877" s="11" t="s">
        <v>697</v>
      </c>
    </row>
    <row r="878" spans="1:13" x14ac:dyDescent="0.25">
      <c r="A878" s="10">
        <v>1876</v>
      </c>
      <c r="B878" s="3">
        <v>45330</v>
      </c>
      <c r="C878" s="2" t="s">
        <v>65</v>
      </c>
      <c r="D878" s="2" t="s">
        <v>126</v>
      </c>
      <c r="E878" s="2" t="s">
        <v>44</v>
      </c>
      <c r="F878" s="2" t="s">
        <v>17</v>
      </c>
      <c r="G878" s="4" t="s">
        <v>697</v>
      </c>
      <c r="H878" s="6">
        <v>15.99</v>
      </c>
      <c r="I878" s="4" t="str">
        <f t="shared" si="13"/>
        <v>N/A</v>
      </c>
      <c r="J878" s="2" t="s">
        <v>27</v>
      </c>
      <c r="K878" s="2" t="s">
        <v>28</v>
      </c>
      <c r="L878" s="2" t="s">
        <v>40</v>
      </c>
      <c r="M878" s="11" t="s">
        <v>697</v>
      </c>
    </row>
    <row r="879" spans="1:13" x14ac:dyDescent="0.25">
      <c r="A879" s="10">
        <v>1877</v>
      </c>
      <c r="B879" s="3">
        <v>44992</v>
      </c>
      <c r="C879" s="2" t="s">
        <v>70</v>
      </c>
      <c r="D879" s="2" t="s">
        <v>71</v>
      </c>
      <c r="E879" s="2" t="s">
        <v>44</v>
      </c>
      <c r="F879" s="2" t="s">
        <v>17</v>
      </c>
      <c r="G879" s="2">
        <v>4</v>
      </c>
      <c r="H879" s="6">
        <v>15.99</v>
      </c>
      <c r="I879" s="4">
        <f t="shared" si="13"/>
        <v>63.96</v>
      </c>
      <c r="J879" s="2" t="s">
        <v>54</v>
      </c>
      <c r="K879" s="2" t="s">
        <v>28</v>
      </c>
      <c r="L879" s="2" t="s">
        <v>40</v>
      </c>
      <c r="M879" s="11" t="s">
        <v>697</v>
      </c>
    </row>
    <row r="880" spans="1:13" x14ac:dyDescent="0.25">
      <c r="A880" s="10">
        <v>1878</v>
      </c>
      <c r="B880" s="5" t="s">
        <v>697</v>
      </c>
      <c r="C880" s="2" t="s">
        <v>697</v>
      </c>
      <c r="D880" s="2" t="s">
        <v>88</v>
      </c>
      <c r="E880" s="2" t="s">
        <v>85</v>
      </c>
      <c r="F880" s="2" t="s">
        <v>26</v>
      </c>
      <c r="G880" s="2">
        <v>4</v>
      </c>
      <c r="H880" s="6">
        <v>99.99</v>
      </c>
      <c r="I880" s="4">
        <f t="shared" si="13"/>
        <v>399.96</v>
      </c>
      <c r="J880" s="2" t="s">
        <v>33</v>
      </c>
      <c r="K880" s="2" t="s">
        <v>55</v>
      </c>
      <c r="L880" s="2" t="s">
        <v>29</v>
      </c>
      <c r="M880" s="12" t="s">
        <v>63</v>
      </c>
    </row>
    <row r="881" spans="1:13" x14ac:dyDescent="0.25">
      <c r="A881" s="10">
        <v>1879</v>
      </c>
      <c r="B881" s="5" t="s">
        <v>697</v>
      </c>
      <c r="C881" s="2" t="s">
        <v>37</v>
      </c>
      <c r="D881" s="2" t="s">
        <v>162</v>
      </c>
      <c r="E881" s="2" t="s">
        <v>72</v>
      </c>
      <c r="F881" s="2" t="s">
        <v>73</v>
      </c>
      <c r="G881" s="4" t="s">
        <v>697</v>
      </c>
      <c r="H881" s="6">
        <v>49.99</v>
      </c>
      <c r="I881" s="4" t="str">
        <f t="shared" si="13"/>
        <v>N/A</v>
      </c>
      <c r="J881" s="2" t="s">
        <v>33</v>
      </c>
      <c r="K881" s="2" t="s">
        <v>129</v>
      </c>
      <c r="L881" s="2" t="s">
        <v>40</v>
      </c>
      <c r="M881" s="11" t="s">
        <v>697</v>
      </c>
    </row>
    <row r="882" spans="1:13" x14ac:dyDescent="0.25">
      <c r="A882" s="10">
        <v>1880</v>
      </c>
      <c r="B882" s="3">
        <v>45414</v>
      </c>
      <c r="C882" s="2" t="s">
        <v>14</v>
      </c>
      <c r="D882" s="2" t="s">
        <v>84</v>
      </c>
      <c r="E882" s="2" t="s">
        <v>72</v>
      </c>
      <c r="F882" s="2" t="s">
        <v>73</v>
      </c>
      <c r="G882" s="2">
        <v>4</v>
      </c>
      <c r="H882" s="6">
        <v>49.99</v>
      </c>
      <c r="I882" s="4">
        <f t="shared" si="13"/>
        <v>199.96</v>
      </c>
      <c r="J882" s="2" t="s">
        <v>33</v>
      </c>
      <c r="K882" s="2" t="s">
        <v>34</v>
      </c>
      <c r="L882" s="2" t="s">
        <v>29</v>
      </c>
      <c r="M882" s="11" t="s">
        <v>697</v>
      </c>
    </row>
    <row r="883" spans="1:13" x14ac:dyDescent="0.25">
      <c r="A883" s="10">
        <v>1881</v>
      </c>
      <c r="B883" s="3">
        <v>45362</v>
      </c>
      <c r="C883" s="2" t="s">
        <v>65</v>
      </c>
      <c r="D883" s="2" t="s">
        <v>123</v>
      </c>
      <c r="E883" s="2" t="s">
        <v>72</v>
      </c>
      <c r="F883" s="2" t="s">
        <v>73</v>
      </c>
      <c r="G883" s="2">
        <v>3</v>
      </c>
      <c r="H883" s="6">
        <v>49.99</v>
      </c>
      <c r="I883" s="4">
        <f t="shared" si="13"/>
        <v>149.97</v>
      </c>
      <c r="J883" s="2" t="s">
        <v>33</v>
      </c>
      <c r="K883" s="2" t="s">
        <v>28</v>
      </c>
      <c r="L883" s="2" t="s">
        <v>35</v>
      </c>
      <c r="M883" s="11" t="s">
        <v>697</v>
      </c>
    </row>
    <row r="884" spans="1:13" x14ac:dyDescent="0.25">
      <c r="A884" s="10">
        <v>1882</v>
      </c>
      <c r="B884" s="3">
        <v>45157</v>
      </c>
      <c r="C884" s="2" t="s">
        <v>37</v>
      </c>
      <c r="D884" s="4" t="s">
        <v>697</v>
      </c>
      <c r="E884" s="2" t="s">
        <v>39</v>
      </c>
      <c r="F884" s="2" t="s">
        <v>17</v>
      </c>
      <c r="G884" s="2">
        <v>1</v>
      </c>
      <c r="H884" s="6">
        <v>39.99</v>
      </c>
      <c r="I884" s="4">
        <f t="shared" si="13"/>
        <v>39.99</v>
      </c>
      <c r="J884" s="2" t="s">
        <v>33</v>
      </c>
      <c r="K884" s="2" t="s">
        <v>129</v>
      </c>
      <c r="L884" s="2" t="s">
        <v>35</v>
      </c>
      <c r="M884" s="11" t="s">
        <v>697</v>
      </c>
    </row>
    <row r="885" spans="1:13" x14ac:dyDescent="0.25">
      <c r="A885" s="10">
        <v>1883</v>
      </c>
      <c r="B885" s="3">
        <v>45222</v>
      </c>
      <c r="C885" s="2" t="s">
        <v>77</v>
      </c>
      <c r="D885" s="2" t="s">
        <v>78</v>
      </c>
      <c r="E885" s="2" t="s">
        <v>82</v>
      </c>
      <c r="F885" s="2" t="s">
        <v>60</v>
      </c>
      <c r="G885" s="4" t="s">
        <v>697</v>
      </c>
      <c r="H885" s="6">
        <v>4.99</v>
      </c>
      <c r="I885" s="4" t="str">
        <f t="shared" si="13"/>
        <v>N/A</v>
      </c>
      <c r="J885" s="2" t="s">
        <v>33</v>
      </c>
      <c r="K885" s="2" t="s">
        <v>45</v>
      </c>
      <c r="L885" s="2" t="s">
        <v>35</v>
      </c>
      <c r="M885" s="12" t="s">
        <v>63</v>
      </c>
    </row>
    <row r="886" spans="1:13" x14ac:dyDescent="0.25">
      <c r="A886" s="10">
        <v>1884</v>
      </c>
      <c r="B886" s="3">
        <v>45063</v>
      </c>
      <c r="C886" s="2" t="s">
        <v>65</v>
      </c>
      <c r="D886" s="2" t="s">
        <v>126</v>
      </c>
      <c r="E886" s="2" t="s">
        <v>85</v>
      </c>
      <c r="F886" s="2" t="s">
        <v>26</v>
      </c>
      <c r="G886" s="2">
        <v>4</v>
      </c>
      <c r="H886" s="6">
        <v>99.99</v>
      </c>
      <c r="I886" s="4">
        <f t="shared" si="13"/>
        <v>399.96</v>
      </c>
      <c r="J886" s="2" t="s">
        <v>54</v>
      </c>
      <c r="K886" s="2" t="s">
        <v>45</v>
      </c>
      <c r="L886" s="2" t="s">
        <v>35</v>
      </c>
      <c r="M886" s="11" t="s">
        <v>697</v>
      </c>
    </row>
    <row r="887" spans="1:13" x14ac:dyDescent="0.25">
      <c r="A887" s="10">
        <v>1885</v>
      </c>
      <c r="B887" s="3">
        <v>45053</v>
      </c>
      <c r="C887" s="2" t="s">
        <v>37</v>
      </c>
      <c r="D887" s="4" t="s">
        <v>697</v>
      </c>
      <c r="E887" s="2" t="s">
        <v>31</v>
      </c>
      <c r="F887" s="2" t="s">
        <v>32</v>
      </c>
      <c r="G887" s="2">
        <v>3</v>
      </c>
      <c r="H887" s="6">
        <v>79.989999999999995</v>
      </c>
      <c r="I887" s="4">
        <f t="shared" si="13"/>
        <v>239.96999999999997</v>
      </c>
      <c r="J887" s="2" t="s">
        <v>54</v>
      </c>
      <c r="K887" s="2" t="s">
        <v>45</v>
      </c>
      <c r="L887" s="2" t="s">
        <v>40</v>
      </c>
      <c r="M887" s="11" t="s">
        <v>697</v>
      </c>
    </row>
    <row r="888" spans="1:13" x14ac:dyDescent="0.25">
      <c r="A888" s="10">
        <v>1886</v>
      </c>
      <c r="B888" s="5" t="s">
        <v>697</v>
      </c>
      <c r="C888" s="2" t="s">
        <v>70</v>
      </c>
      <c r="D888" s="4" t="s">
        <v>697</v>
      </c>
      <c r="E888" s="2" t="s">
        <v>52</v>
      </c>
      <c r="F888" s="2" t="s">
        <v>53</v>
      </c>
      <c r="G888" s="2">
        <v>4</v>
      </c>
      <c r="H888" s="6">
        <v>59.99</v>
      </c>
      <c r="I888" s="4">
        <f t="shared" si="13"/>
        <v>239.96</v>
      </c>
      <c r="J888" s="2" t="s">
        <v>27</v>
      </c>
      <c r="K888" s="2" t="s">
        <v>129</v>
      </c>
      <c r="L888" s="2" t="s">
        <v>29</v>
      </c>
      <c r="M888" s="11" t="s">
        <v>697</v>
      </c>
    </row>
    <row r="889" spans="1:13" x14ac:dyDescent="0.25">
      <c r="A889" s="10">
        <v>1887</v>
      </c>
      <c r="B889" s="5" t="s">
        <v>697</v>
      </c>
      <c r="C889" s="2" t="s">
        <v>42</v>
      </c>
      <c r="D889" s="2" t="s">
        <v>43</v>
      </c>
      <c r="E889" s="2" t="s">
        <v>72</v>
      </c>
      <c r="F889" s="2" t="s">
        <v>73</v>
      </c>
      <c r="G889" s="2">
        <v>1</v>
      </c>
      <c r="H889" s="6">
        <v>49.99</v>
      </c>
      <c r="I889" s="4">
        <f t="shared" si="13"/>
        <v>49.99</v>
      </c>
      <c r="J889" s="2" t="s">
        <v>27</v>
      </c>
      <c r="K889" s="2" t="s">
        <v>129</v>
      </c>
      <c r="L889" s="2" t="s">
        <v>40</v>
      </c>
      <c r="M889" s="11" t="s">
        <v>697</v>
      </c>
    </row>
    <row r="890" spans="1:13" x14ac:dyDescent="0.25">
      <c r="A890" s="10">
        <v>1888</v>
      </c>
      <c r="B890" s="3">
        <v>45297</v>
      </c>
      <c r="C890" s="2" t="s">
        <v>14</v>
      </c>
      <c r="D890" s="2" t="s">
        <v>15</v>
      </c>
      <c r="E890" s="2" t="s">
        <v>72</v>
      </c>
      <c r="F890" s="2" t="s">
        <v>73</v>
      </c>
      <c r="G890" s="2">
        <v>4</v>
      </c>
      <c r="H890" s="6">
        <v>49.99</v>
      </c>
      <c r="I890" s="4">
        <f t="shared" si="13"/>
        <v>199.96</v>
      </c>
      <c r="J890" s="2" t="s">
        <v>54</v>
      </c>
      <c r="K890" s="2" t="s">
        <v>28</v>
      </c>
      <c r="L890" s="2" t="s">
        <v>35</v>
      </c>
      <c r="M890" s="11" t="s">
        <v>697</v>
      </c>
    </row>
    <row r="891" spans="1:13" x14ac:dyDescent="0.25">
      <c r="A891" s="10">
        <v>1889</v>
      </c>
      <c r="B891" s="3">
        <v>45015</v>
      </c>
      <c r="C891" s="2" t="s">
        <v>65</v>
      </c>
      <c r="D891" s="2" t="s">
        <v>126</v>
      </c>
      <c r="E891" s="2" t="s">
        <v>44</v>
      </c>
      <c r="F891" s="2" t="s">
        <v>17</v>
      </c>
      <c r="G891" s="4" t="s">
        <v>697</v>
      </c>
      <c r="H891" s="6">
        <v>15.99</v>
      </c>
      <c r="I891" s="4" t="str">
        <f t="shared" si="13"/>
        <v>N/A</v>
      </c>
      <c r="J891" s="2" t="s">
        <v>33</v>
      </c>
      <c r="K891" s="2" t="s">
        <v>28</v>
      </c>
      <c r="L891" s="2" t="s">
        <v>40</v>
      </c>
      <c r="M891" s="11" t="s">
        <v>697</v>
      </c>
    </row>
    <row r="892" spans="1:13" x14ac:dyDescent="0.25">
      <c r="A892" s="10">
        <v>1890</v>
      </c>
      <c r="B892" s="5" t="s">
        <v>697</v>
      </c>
      <c r="C892" s="2" t="s">
        <v>23</v>
      </c>
      <c r="D892" s="2" t="s">
        <v>81</v>
      </c>
      <c r="E892" s="2" t="s">
        <v>31</v>
      </c>
      <c r="F892" s="2" t="s">
        <v>32</v>
      </c>
      <c r="G892" s="2">
        <v>1</v>
      </c>
      <c r="H892" s="6">
        <v>79.989999999999995</v>
      </c>
      <c r="I892" s="4">
        <f t="shared" si="13"/>
        <v>79.989999999999995</v>
      </c>
      <c r="J892" s="2" t="s">
        <v>33</v>
      </c>
      <c r="K892" s="2" t="s">
        <v>45</v>
      </c>
      <c r="L892" s="2" t="s">
        <v>35</v>
      </c>
      <c r="M892" s="11" t="s">
        <v>697</v>
      </c>
    </row>
    <row r="893" spans="1:13" x14ac:dyDescent="0.25">
      <c r="A893" s="10">
        <v>1891</v>
      </c>
      <c r="B893" s="3">
        <v>45096</v>
      </c>
      <c r="C893" s="2" t="s">
        <v>14</v>
      </c>
      <c r="D893" s="2" t="s">
        <v>75</v>
      </c>
      <c r="E893" s="2" t="s">
        <v>127</v>
      </c>
      <c r="F893" s="2" t="s">
        <v>73</v>
      </c>
      <c r="G893" s="2">
        <v>2</v>
      </c>
      <c r="H893" s="6">
        <v>29.99</v>
      </c>
      <c r="I893" s="4">
        <f t="shared" si="13"/>
        <v>59.98</v>
      </c>
      <c r="J893" s="2" t="s">
        <v>33</v>
      </c>
      <c r="K893" s="2" t="s">
        <v>129</v>
      </c>
      <c r="L893" s="2" t="s">
        <v>40</v>
      </c>
      <c r="M893" s="11" t="s">
        <v>697</v>
      </c>
    </row>
    <row r="894" spans="1:13" x14ac:dyDescent="0.25">
      <c r="A894" s="10">
        <v>1892</v>
      </c>
      <c r="B894" s="5" t="s">
        <v>697</v>
      </c>
      <c r="C894" s="2" t="s">
        <v>23</v>
      </c>
      <c r="D894" s="2" t="s">
        <v>81</v>
      </c>
      <c r="E894" s="2" t="s">
        <v>72</v>
      </c>
      <c r="F894" s="2" t="s">
        <v>73</v>
      </c>
      <c r="G894" s="4" t="s">
        <v>697</v>
      </c>
      <c r="H894" s="6">
        <v>49.99</v>
      </c>
      <c r="I894" s="4" t="str">
        <f t="shared" si="13"/>
        <v>N/A</v>
      </c>
      <c r="J894" s="2" t="s">
        <v>33</v>
      </c>
      <c r="K894" s="2" t="s">
        <v>34</v>
      </c>
      <c r="L894" s="2" t="s">
        <v>35</v>
      </c>
      <c r="M894" s="11" t="s">
        <v>697</v>
      </c>
    </row>
    <row r="895" spans="1:13" x14ac:dyDescent="0.25">
      <c r="A895" s="10">
        <v>1893</v>
      </c>
      <c r="B895" s="3">
        <v>45079</v>
      </c>
      <c r="C895" s="2" t="s">
        <v>42</v>
      </c>
      <c r="D895" s="2" t="s">
        <v>116</v>
      </c>
      <c r="E895" s="2" t="s">
        <v>72</v>
      </c>
      <c r="F895" s="2" t="s">
        <v>73</v>
      </c>
      <c r="G895" s="2">
        <v>1</v>
      </c>
      <c r="H895" s="6">
        <v>49.99</v>
      </c>
      <c r="I895" s="4">
        <f t="shared" si="13"/>
        <v>49.99</v>
      </c>
      <c r="J895" s="2" t="s">
        <v>19</v>
      </c>
      <c r="K895" s="2" t="s">
        <v>45</v>
      </c>
      <c r="L895" s="2" t="s">
        <v>40</v>
      </c>
      <c r="M895" s="12" t="s">
        <v>63</v>
      </c>
    </row>
    <row r="896" spans="1:13" x14ac:dyDescent="0.25">
      <c r="A896" s="10">
        <v>1894</v>
      </c>
      <c r="B896" s="3">
        <v>45402</v>
      </c>
      <c r="C896" s="2" t="s">
        <v>65</v>
      </c>
      <c r="D896" s="2" t="s">
        <v>123</v>
      </c>
      <c r="E896" s="2" t="s">
        <v>44</v>
      </c>
      <c r="F896" s="2" t="s">
        <v>17</v>
      </c>
      <c r="G896" s="4" t="s">
        <v>697</v>
      </c>
      <c r="H896" s="6">
        <v>15.99</v>
      </c>
      <c r="I896" s="4" t="str">
        <f t="shared" si="13"/>
        <v>N/A</v>
      </c>
      <c r="J896" s="2" t="s">
        <v>27</v>
      </c>
      <c r="K896" s="2" t="s">
        <v>45</v>
      </c>
      <c r="L896" s="2" t="s">
        <v>29</v>
      </c>
      <c r="M896" s="11" t="s">
        <v>697</v>
      </c>
    </row>
    <row r="897" spans="1:13" x14ac:dyDescent="0.25">
      <c r="A897" s="10">
        <v>1895</v>
      </c>
      <c r="B897" s="3">
        <v>44943</v>
      </c>
      <c r="C897" s="2" t="s">
        <v>23</v>
      </c>
      <c r="D897" s="2" t="s">
        <v>124</v>
      </c>
      <c r="E897" s="2" t="s">
        <v>82</v>
      </c>
      <c r="F897" s="2" t="s">
        <v>60</v>
      </c>
      <c r="G897" s="2">
        <v>1</v>
      </c>
      <c r="H897" s="6">
        <v>4.99</v>
      </c>
      <c r="I897" s="4">
        <f t="shared" si="13"/>
        <v>4.99</v>
      </c>
      <c r="J897" s="2" t="s">
        <v>33</v>
      </c>
      <c r="K897" s="2" t="s">
        <v>28</v>
      </c>
      <c r="L897" s="2" t="s">
        <v>35</v>
      </c>
      <c r="M897" s="11" t="s">
        <v>697</v>
      </c>
    </row>
    <row r="898" spans="1:13" x14ac:dyDescent="0.25">
      <c r="A898" s="10">
        <v>1896</v>
      </c>
      <c r="B898" s="3">
        <v>44967</v>
      </c>
      <c r="C898" s="2" t="s">
        <v>37</v>
      </c>
      <c r="D898" s="2" t="s">
        <v>38</v>
      </c>
      <c r="E898" s="2" t="s">
        <v>127</v>
      </c>
      <c r="F898" s="2" t="s">
        <v>73</v>
      </c>
      <c r="G898" s="2">
        <v>4</v>
      </c>
      <c r="H898" s="6">
        <v>29.99</v>
      </c>
      <c r="I898" s="4">
        <f t="shared" si="13"/>
        <v>119.96</v>
      </c>
      <c r="J898" s="2" t="s">
        <v>19</v>
      </c>
      <c r="K898" s="2" t="s">
        <v>55</v>
      </c>
      <c r="L898" s="2" t="s">
        <v>35</v>
      </c>
      <c r="M898" s="11" t="s">
        <v>697</v>
      </c>
    </row>
    <row r="899" spans="1:13" x14ac:dyDescent="0.25">
      <c r="A899" s="10">
        <v>1897</v>
      </c>
      <c r="B899" s="3">
        <v>45183</v>
      </c>
      <c r="C899" s="2" t="s">
        <v>37</v>
      </c>
      <c r="D899" s="2" t="s">
        <v>162</v>
      </c>
      <c r="E899" s="2" t="s">
        <v>85</v>
      </c>
      <c r="F899" s="2" t="s">
        <v>26</v>
      </c>
      <c r="G899" s="4" t="s">
        <v>697</v>
      </c>
      <c r="H899" s="6">
        <v>99.99</v>
      </c>
      <c r="I899" s="4" t="str">
        <f t="shared" ref="I899:I962" si="14">IF(G899="N/A","N/A",PRODUCT(G899,H899))</f>
        <v>N/A</v>
      </c>
      <c r="J899" s="2" t="s">
        <v>33</v>
      </c>
      <c r="K899" s="2" t="s">
        <v>28</v>
      </c>
      <c r="L899" s="2" t="s">
        <v>29</v>
      </c>
      <c r="M899" s="11" t="s">
        <v>697</v>
      </c>
    </row>
    <row r="900" spans="1:13" x14ac:dyDescent="0.25">
      <c r="A900" s="10">
        <v>1898</v>
      </c>
      <c r="B900" s="5" t="s">
        <v>697</v>
      </c>
      <c r="C900" s="2" t="s">
        <v>14</v>
      </c>
      <c r="D900" s="2" t="s">
        <v>75</v>
      </c>
      <c r="E900" s="2" t="s">
        <v>92</v>
      </c>
      <c r="F900" s="2" t="s">
        <v>26</v>
      </c>
      <c r="G900" s="2">
        <v>5</v>
      </c>
      <c r="H900" s="6">
        <v>14.99</v>
      </c>
      <c r="I900" s="4">
        <f t="shared" si="14"/>
        <v>74.95</v>
      </c>
      <c r="J900" s="2" t="s">
        <v>19</v>
      </c>
      <c r="K900" s="2" t="s">
        <v>28</v>
      </c>
      <c r="L900" s="2" t="s">
        <v>40</v>
      </c>
      <c r="M900" s="11" t="s">
        <v>697</v>
      </c>
    </row>
    <row r="901" spans="1:13" x14ac:dyDescent="0.25">
      <c r="A901" s="10">
        <v>1899</v>
      </c>
      <c r="B901" s="5" t="s">
        <v>697</v>
      </c>
      <c r="C901" s="2" t="s">
        <v>65</v>
      </c>
      <c r="D901" s="2" t="s">
        <v>66</v>
      </c>
      <c r="E901" s="2" t="s">
        <v>92</v>
      </c>
      <c r="F901" s="2" t="s">
        <v>26</v>
      </c>
      <c r="G901" s="4" t="s">
        <v>697</v>
      </c>
      <c r="H901" s="6">
        <v>14.99</v>
      </c>
      <c r="I901" s="4" t="str">
        <f t="shared" si="14"/>
        <v>N/A</v>
      </c>
      <c r="J901" s="2" t="s">
        <v>27</v>
      </c>
      <c r="K901" s="2" t="s">
        <v>34</v>
      </c>
      <c r="L901" s="2" t="s">
        <v>35</v>
      </c>
      <c r="M901" s="11" t="s">
        <v>697</v>
      </c>
    </row>
    <row r="902" spans="1:13" x14ac:dyDescent="0.25">
      <c r="A902" s="10">
        <v>1900</v>
      </c>
      <c r="B902" s="3">
        <v>45009</v>
      </c>
      <c r="C902" s="2" t="s">
        <v>14</v>
      </c>
      <c r="D902" s="2" t="s">
        <v>84</v>
      </c>
      <c r="E902" s="2" t="s">
        <v>92</v>
      </c>
      <c r="F902" s="2" t="s">
        <v>26</v>
      </c>
      <c r="G902" s="2">
        <v>4</v>
      </c>
      <c r="H902" s="6">
        <v>14.99</v>
      </c>
      <c r="I902" s="4">
        <f t="shared" si="14"/>
        <v>59.96</v>
      </c>
      <c r="J902" s="2" t="s">
        <v>19</v>
      </c>
      <c r="K902" s="2" t="s">
        <v>45</v>
      </c>
      <c r="L902" s="2" t="s">
        <v>35</v>
      </c>
      <c r="M902" s="11" t="s">
        <v>697</v>
      </c>
    </row>
    <row r="903" spans="1:13" x14ac:dyDescent="0.25">
      <c r="A903" s="10">
        <v>1901</v>
      </c>
      <c r="B903" s="5" t="s">
        <v>697</v>
      </c>
      <c r="C903" s="2" t="s">
        <v>70</v>
      </c>
      <c r="D903" s="2" t="s">
        <v>71</v>
      </c>
      <c r="E903" s="2" t="s">
        <v>39</v>
      </c>
      <c r="F903" s="2" t="s">
        <v>17</v>
      </c>
      <c r="G903" s="2">
        <v>1</v>
      </c>
      <c r="H903" s="6">
        <v>39.99</v>
      </c>
      <c r="I903" s="4">
        <f t="shared" si="14"/>
        <v>39.99</v>
      </c>
      <c r="J903" s="2" t="s">
        <v>33</v>
      </c>
      <c r="K903" s="2" t="s">
        <v>129</v>
      </c>
      <c r="L903" s="2" t="s">
        <v>35</v>
      </c>
      <c r="M903" s="11" t="s">
        <v>697</v>
      </c>
    </row>
    <row r="904" spans="1:13" x14ac:dyDescent="0.25">
      <c r="A904" s="10">
        <v>1902</v>
      </c>
      <c r="B904" s="3">
        <v>45055</v>
      </c>
      <c r="C904" s="2" t="s">
        <v>42</v>
      </c>
      <c r="D904" s="2" t="s">
        <v>48</v>
      </c>
      <c r="E904" s="2" t="s">
        <v>72</v>
      </c>
      <c r="F904" s="2" t="s">
        <v>73</v>
      </c>
      <c r="G904" s="2">
        <v>2</v>
      </c>
      <c r="H904" s="6">
        <v>49.99</v>
      </c>
      <c r="I904" s="4">
        <f t="shared" si="14"/>
        <v>99.98</v>
      </c>
      <c r="J904" s="2" t="s">
        <v>33</v>
      </c>
      <c r="K904" s="2" t="s">
        <v>34</v>
      </c>
      <c r="L904" s="2" t="s">
        <v>35</v>
      </c>
      <c r="M904" s="11" t="s">
        <v>697</v>
      </c>
    </row>
    <row r="905" spans="1:13" x14ac:dyDescent="0.25">
      <c r="A905" s="10">
        <v>1903</v>
      </c>
      <c r="B905" s="5" t="s">
        <v>697</v>
      </c>
      <c r="C905" s="2" t="s">
        <v>23</v>
      </c>
      <c r="D905" s="2" t="s">
        <v>24</v>
      </c>
      <c r="E905" s="2" t="s">
        <v>127</v>
      </c>
      <c r="F905" s="2" t="s">
        <v>73</v>
      </c>
      <c r="G905" s="2">
        <v>3</v>
      </c>
      <c r="H905" s="6">
        <v>29.99</v>
      </c>
      <c r="I905" s="4">
        <f t="shared" si="14"/>
        <v>89.97</v>
      </c>
      <c r="J905" s="2" t="s">
        <v>27</v>
      </c>
      <c r="K905" s="2" t="s">
        <v>34</v>
      </c>
      <c r="L905" s="2" t="s">
        <v>35</v>
      </c>
      <c r="M905" s="11" t="s">
        <v>697</v>
      </c>
    </row>
    <row r="906" spans="1:13" x14ac:dyDescent="0.25">
      <c r="A906" s="10">
        <v>1904</v>
      </c>
      <c r="B906" s="5" t="s">
        <v>697</v>
      </c>
      <c r="C906" s="2" t="s">
        <v>14</v>
      </c>
      <c r="D906" s="2" t="s">
        <v>84</v>
      </c>
      <c r="E906" s="2" t="s">
        <v>85</v>
      </c>
      <c r="F906" s="2" t="s">
        <v>26</v>
      </c>
      <c r="G906" s="2">
        <v>2</v>
      </c>
      <c r="H906" s="6">
        <v>99.99</v>
      </c>
      <c r="I906" s="4">
        <f t="shared" si="14"/>
        <v>199.98</v>
      </c>
      <c r="J906" s="2" t="s">
        <v>33</v>
      </c>
      <c r="K906" s="2" t="s">
        <v>45</v>
      </c>
      <c r="L906" s="2" t="s">
        <v>35</v>
      </c>
      <c r="M906" s="11" t="s">
        <v>697</v>
      </c>
    </row>
    <row r="907" spans="1:13" x14ac:dyDescent="0.25">
      <c r="A907" s="10">
        <v>1905</v>
      </c>
      <c r="B907" s="3">
        <v>45343</v>
      </c>
      <c r="C907" s="2" t="s">
        <v>42</v>
      </c>
      <c r="D907" s="2" t="s">
        <v>116</v>
      </c>
      <c r="E907" s="2" t="s">
        <v>44</v>
      </c>
      <c r="F907" s="2" t="s">
        <v>17</v>
      </c>
      <c r="G907" s="2">
        <v>1</v>
      </c>
      <c r="H907" s="6">
        <v>15.99</v>
      </c>
      <c r="I907" s="4">
        <f t="shared" si="14"/>
        <v>15.99</v>
      </c>
      <c r="J907" s="2" t="s">
        <v>54</v>
      </c>
      <c r="K907" s="2" t="s">
        <v>34</v>
      </c>
      <c r="L907" s="2" t="s">
        <v>35</v>
      </c>
      <c r="M907" s="11" t="s">
        <v>697</v>
      </c>
    </row>
    <row r="908" spans="1:13" x14ac:dyDescent="0.25">
      <c r="A908" s="10">
        <v>1906</v>
      </c>
      <c r="B908" s="3">
        <v>45353</v>
      </c>
      <c r="C908" s="2" t="s">
        <v>23</v>
      </c>
      <c r="D908" s="2" t="s">
        <v>81</v>
      </c>
      <c r="E908" s="2" t="s">
        <v>72</v>
      </c>
      <c r="F908" s="2" t="s">
        <v>73</v>
      </c>
      <c r="G908" s="2">
        <v>4</v>
      </c>
      <c r="H908" s="6">
        <v>49.99</v>
      </c>
      <c r="I908" s="4">
        <f t="shared" si="14"/>
        <v>199.96</v>
      </c>
      <c r="J908" s="2" t="s">
        <v>54</v>
      </c>
      <c r="K908" s="2" t="s">
        <v>34</v>
      </c>
      <c r="L908" s="2" t="s">
        <v>40</v>
      </c>
      <c r="M908" s="11" t="s">
        <v>697</v>
      </c>
    </row>
    <row r="909" spans="1:13" x14ac:dyDescent="0.25">
      <c r="A909" s="10">
        <v>1907</v>
      </c>
      <c r="B909" s="3">
        <v>45206</v>
      </c>
      <c r="C909" s="2" t="s">
        <v>70</v>
      </c>
      <c r="D909" s="2" t="s">
        <v>131</v>
      </c>
      <c r="E909" s="2" t="s">
        <v>85</v>
      </c>
      <c r="F909" s="2" t="s">
        <v>26</v>
      </c>
      <c r="G909" s="2">
        <v>3</v>
      </c>
      <c r="H909" s="6">
        <v>99.99</v>
      </c>
      <c r="I909" s="4">
        <f t="shared" si="14"/>
        <v>299.96999999999997</v>
      </c>
      <c r="J909" s="2" t="s">
        <v>54</v>
      </c>
      <c r="K909" s="2" t="s">
        <v>28</v>
      </c>
      <c r="L909" s="2" t="s">
        <v>40</v>
      </c>
      <c r="M909" s="11" t="s">
        <v>697</v>
      </c>
    </row>
    <row r="910" spans="1:13" x14ac:dyDescent="0.25">
      <c r="A910" s="10">
        <v>1908</v>
      </c>
      <c r="B910" s="3">
        <v>45242</v>
      </c>
      <c r="C910" s="2" t="s">
        <v>65</v>
      </c>
      <c r="D910" s="2" t="s">
        <v>123</v>
      </c>
      <c r="E910" s="2" t="s">
        <v>31</v>
      </c>
      <c r="F910" s="2" t="s">
        <v>32</v>
      </c>
      <c r="G910" s="2">
        <v>5</v>
      </c>
      <c r="H910" s="6">
        <v>79.989999999999995</v>
      </c>
      <c r="I910" s="4">
        <f t="shared" si="14"/>
        <v>399.95</v>
      </c>
      <c r="J910" s="2" t="s">
        <v>33</v>
      </c>
      <c r="K910" s="2" t="s">
        <v>28</v>
      </c>
      <c r="L910" s="2" t="s">
        <v>35</v>
      </c>
      <c r="M910" s="12" t="s">
        <v>63</v>
      </c>
    </row>
    <row r="911" spans="1:13" x14ac:dyDescent="0.25">
      <c r="A911" s="10">
        <v>1909</v>
      </c>
      <c r="B911" s="5" t="s">
        <v>697</v>
      </c>
      <c r="C911" s="2" t="s">
        <v>37</v>
      </c>
      <c r="D911" s="2" t="s">
        <v>162</v>
      </c>
      <c r="E911" s="2" t="s">
        <v>44</v>
      </c>
      <c r="F911" s="2" t="s">
        <v>17</v>
      </c>
      <c r="G911" s="4" t="s">
        <v>697</v>
      </c>
      <c r="H911" s="6">
        <v>15.99</v>
      </c>
      <c r="I911" s="4" t="str">
        <f t="shared" si="14"/>
        <v>N/A</v>
      </c>
      <c r="J911" s="2" t="s">
        <v>27</v>
      </c>
      <c r="K911" s="2" t="s">
        <v>28</v>
      </c>
      <c r="L911" s="2" t="s">
        <v>40</v>
      </c>
      <c r="M911" s="11" t="s">
        <v>697</v>
      </c>
    </row>
    <row r="912" spans="1:13" x14ac:dyDescent="0.25">
      <c r="A912" s="10">
        <v>1910</v>
      </c>
      <c r="B912" s="3">
        <v>44984</v>
      </c>
      <c r="C912" s="2" t="s">
        <v>70</v>
      </c>
      <c r="D912" s="2" t="s">
        <v>131</v>
      </c>
      <c r="E912" s="2" t="s">
        <v>82</v>
      </c>
      <c r="F912" s="2" t="s">
        <v>60</v>
      </c>
      <c r="G912" s="2">
        <v>2</v>
      </c>
      <c r="H912" s="6">
        <v>4.99</v>
      </c>
      <c r="I912" s="4">
        <f t="shared" si="14"/>
        <v>9.98</v>
      </c>
      <c r="J912" s="2" t="s">
        <v>54</v>
      </c>
      <c r="K912" s="2" t="s">
        <v>55</v>
      </c>
      <c r="L912" s="2" t="s">
        <v>29</v>
      </c>
      <c r="M912" s="11" t="s">
        <v>697</v>
      </c>
    </row>
    <row r="913" spans="1:13" x14ac:dyDescent="0.25">
      <c r="A913" s="10">
        <v>1911</v>
      </c>
      <c r="B913" s="5" t="s">
        <v>697</v>
      </c>
      <c r="C913" s="2" t="s">
        <v>65</v>
      </c>
      <c r="D913" s="2" t="s">
        <v>66</v>
      </c>
      <c r="E913" s="2" t="s">
        <v>44</v>
      </c>
      <c r="F913" s="2" t="s">
        <v>17</v>
      </c>
      <c r="G913" s="2">
        <v>3</v>
      </c>
      <c r="H913" s="6">
        <v>15.99</v>
      </c>
      <c r="I913" s="4">
        <f t="shared" si="14"/>
        <v>47.97</v>
      </c>
      <c r="J913" s="2" t="s">
        <v>54</v>
      </c>
      <c r="K913" s="2" t="s">
        <v>45</v>
      </c>
      <c r="L913" s="2" t="s">
        <v>35</v>
      </c>
      <c r="M913" s="11" t="s">
        <v>697</v>
      </c>
    </row>
    <row r="914" spans="1:13" x14ac:dyDescent="0.25">
      <c r="A914" s="10">
        <v>1912</v>
      </c>
      <c r="B914" s="5" t="s">
        <v>697</v>
      </c>
      <c r="C914" s="2" t="s">
        <v>42</v>
      </c>
      <c r="D914" s="2" t="s">
        <v>43</v>
      </c>
      <c r="E914" s="2" t="s">
        <v>72</v>
      </c>
      <c r="F914" s="2" t="s">
        <v>73</v>
      </c>
      <c r="G914" s="2">
        <v>4</v>
      </c>
      <c r="H914" s="6">
        <v>49.99</v>
      </c>
      <c r="I914" s="4">
        <f t="shared" si="14"/>
        <v>199.96</v>
      </c>
      <c r="J914" s="2" t="s">
        <v>27</v>
      </c>
      <c r="K914" s="2" t="s">
        <v>28</v>
      </c>
      <c r="L914" s="2" t="s">
        <v>35</v>
      </c>
      <c r="M914" s="11" t="s">
        <v>697</v>
      </c>
    </row>
    <row r="915" spans="1:13" x14ac:dyDescent="0.25">
      <c r="A915" s="10">
        <v>1913</v>
      </c>
      <c r="B915" s="5" t="s">
        <v>697</v>
      </c>
      <c r="C915" s="2" t="s">
        <v>37</v>
      </c>
      <c r="D915" s="2" t="s">
        <v>38</v>
      </c>
      <c r="E915" s="2" t="s">
        <v>85</v>
      </c>
      <c r="F915" s="2" t="s">
        <v>26</v>
      </c>
      <c r="G915" s="4" t="s">
        <v>697</v>
      </c>
      <c r="H915" s="6">
        <v>99.99</v>
      </c>
      <c r="I915" s="4" t="str">
        <f t="shared" si="14"/>
        <v>N/A</v>
      </c>
      <c r="J915" s="2" t="s">
        <v>27</v>
      </c>
      <c r="K915" s="2" t="s">
        <v>129</v>
      </c>
      <c r="L915" s="2" t="s">
        <v>35</v>
      </c>
      <c r="M915" s="11" t="s">
        <v>697</v>
      </c>
    </row>
    <row r="916" spans="1:13" x14ac:dyDescent="0.25">
      <c r="A916" s="10">
        <v>1914</v>
      </c>
      <c r="B916" s="3">
        <v>45404</v>
      </c>
      <c r="C916" s="2" t="s">
        <v>70</v>
      </c>
      <c r="D916" s="2" t="s">
        <v>131</v>
      </c>
      <c r="E916" s="2" t="s">
        <v>44</v>
      </c>
      <c r="F916" s="2" t="s">
        <v>17</v>
      </c>
      <c r="G916" s="2">
        <v>2</v>
      </c>
      <c r="H916" s="6">
        <v>15.99</v>
      </c>
      <c r="I916" s="4">
        <f t="shared" si="14"/>
        <v>31.98</v>
      </c>
      <c r="J916" s="2" t="s">
        <v>33</v>
      </c>
      <c r="K916" s="2" t="s">
        <v>45</v>
      </c>
      <c r="L916" s="2" t="s">
        <v>35</v>
      </c>
      <c r="M916" s="11" t="s">
        <v>697</v>
      </c>
    </row>
    <row r="917" spans="1:13" x14ac:dyDescent="0.25">
      <c r="A917" s="10">
        <v>1915</v>
      </c>
      <c r="B917" s="5" t="s">
        <v>697</v>
      </c>
      <c r="C917" s="2" t="s">
        <v>65</v>
      </c>
      <c r="D917" s="2" t="s">
        <v>126</v>
      </c>
      <c r="E917" s="2" t="s">
        <v>39</v>
      </c>
      <c r="F917" s="2" t="s">
        <v>17</v>
      </c>
      <c r="G917" s="2">
        <v>5</v>
      </c>
      <c r="H917" s="6">
        <v>39.99</v>
      </c>
      <c r="I917" s="4">
        <f t="shared" si="14"/>
        <v>199.95000000000002</v>
      </c>
      <c r="J917" s="2" t="s">
        <v>33</v>
      </c>
      <c r="K917" s="2" t="s">
        <v>28</v>
      </c>
      <c r="L917" s="2" t="s">
        <v>35</v>
      </c>
      <c r="M917" s="11" t="s">
        <v>697</v>
      </c>
    </row>
    <row r="918" spans="1:13" x14ac:dyDescent="0.25">
      <c r="A918" s="10">
        <v>1916</v>
      </c>
      <c r="B918" s="5" t="s">
        <v>697</v>
      </c>
      <c r="C918" s="2" t="s">
        <v>42</v>
      </c>
      <c r="D918" s="2" t="s">
        <v>43</v>
      </c>
      <c r="E918" s="2" t="s">
        <v>85</v>
      </c>
      <c r="F918" s="2" t="s">
        <v>26</v>
      </c>
      <c r="G918" s="4" t="s">
        <v>697</v>
      </c>
      <c r="H918" s="6">
        <v>99.99</v>
      </c>
      <c r="I918" s="4" t="str">
        <f t="shared" si="14"/>
        <v>N/A</v>
      </c>
      <c r="J918" s="2" t="s">
        <v>33</v>
      </c>
      <c r="K918" s="2" t="s">
        <v>28</v>
      </c>
      <c r="L918" s="2" t="s">
        <v>35</v>
      </c>
      <c r="M918" s="11" t="s">
        <v>697</v>
      </c>
    </row>
    <row r="919" spans="1:13" x14ac:dyDescent="0.25">
      <c r="A919" s="10">
        <v>1917</v>
      </c>
      <c r="B919" s="3">
        <v>45277</v>
      </c>
      <c r="C919" s="2" t="s">
        <v>65</v>
      </c>
      <c r="D919" s="2" t="s">
        <v>123</v>
      </c>
      <c r="E919" s="2" t="s">
        <v>127</v>
      </c>
      <c r="F919" s="2" t="s">
        <v>73</v>
      </c>
      <c r="G919" s="2">
        <v>1</v>
      </c>
      <c r="H919" s="6">
        <v>29.99</v>
      </c>
      <c r="I919" s="4">
        <f t="shared" si="14"/>
        <v>29.99</v>
      </c>
      <c r="J919" s="2" t="s">
        <v>27</v>
      </c>
      <c r="K919" s="2" t="s">
        <v>28</v>
      </c>
      <c r="L919" s="2" t="s">
        <v>35</v>
      </c>
      <c r="M919" s="11" t="s">
        <v>697</v>
      </c>
    </row>
    <row r="920" spans="1:13" x14ac:dyDescent="0.25">
      <c r="A920" s="10">
        <v>1918</v>
      </c>
      <c r="B920" s="3">
        <v>45036</v>
      </c>
      <c r="C920" s="2" t="s">
        <v>37</v>
      </c>
      <c r="D920" s="2" t="s">
        <v>162</v>
      </c>
      <c r="E920" s="2" t="s">
        <v>31</v>
      </c>
      <c r="F920" s="2" t="s">
        <v>32</v>
      </c>
      <c r="G920" s="4" t="s">
        <v>697</v>
      </c>
      <c r="H920" s="6">
        <v>79.989999999999995</v>
      </c>
      <c r="I920" s="4" t="str">
        <f t="shared" si="14"/>
        <v>N/A</v>
      </c>
      <c r="J920" s="2" t="s">
        <v>19</v>
      </c>
      <c r="K920" s="2" t="s">
        <v>45</v>
      </c>
      <c r="L920" s="2" t="s">
        <v>35</v>
      </c>
      <c r="M920" s="11" t="s">
        <v>697</v>
      </c>
    </row>
    <row r="921" spans="1:13" x14ac:dyDescent="0.25">
      <c r="A921" s="10">
        <v>1919</v>
      </c>
      <c r="B921" s="3">
        <v>45241</v>
      </c>
      <c r="C921" s="2" t="s">
        <v>14</v>
      </c>
      <c r="D921" s="2" t="s">
        <v>75</v>
      </c>
      <c r="E921" s="2" t="s">
        <v>39</v>
      </c>
      <c r="F921" s="2" t="s">
        <v>17</v>
      </c>
      <c r="G921" s="2">
        <v>1</v>
      </c>
      <c r="H921" s="6">
        <v>39.99</v>
      </c>
      <c r="I921" s="4">
        <f t="shared" si="14"/>
        <v>39.99</v>
      </c>
      <c r="J921" s="2" t="s">
        <v>54</v>
      </c>
      <c r="K921" s="2" t="s">
        <v>34</v>
      </c>
      <c r="L921" s="2" t="s">
        <v>35</v>
      </c>
      <c r="M921" s="11" t="s">
        <v>697</v>
      </c>
    </row>
    <row r="922" spans="1:13" x14ac:dyDescent="0.25">
      <c r="A922" s="10">
        <v>1920</v>
      </c>
      <c r="B922" s="3">
        <v>45396</v>
      </c>
      <c r="C922" s="2" t="s">
        <v>70</v>
      </c>
      <c r="D922" s="2" t="s">
        <v>131</v>
      </c>
      <c r="E922" s="2" t="s">
        <v>44</v>
      </c>
      <c r="F922" s="2" t="s">
        <v>17</v>
      </c>
      <c r="G922" s="4" t="s">
        <v>697</v>
      </c>
      <c r="H922" s="6">
        <v>15.99</v>
      </c>
      <c r="I922" s="4" t="str">
        <f t="shared" si="14"/>
        <v>N/A</v>
      </c>
      <c r="J922" s="2" t="s">
        <v>33</v>
      </c>
      <c r="K922" s="2" t="s">
        <v>45</v>
      </c>
      <c r="L922" s="2" t="s">
        <v>35</v>
      </c>
      <c r="M922" s="11" t="s">
        <v>697</v>
      </c>
    </row>
    <row r="923" spans="1:13" x14ac:dyDescent="0.25">
      <c r="A923" s="10">
        <v>1921</v>
      </c>
      <c r="B923" s="3">
        <v>45164</v>
      </c>
      <c r="C923" s="2" t="s">
        <v>77</v>
      </c>
      <c r="D923" s="2" t="s">
        <v>91</v>
      </c>
      <c r="E923" s="2" t="s">
        <v>39</v>
      </c>
      <c r="F923" s="2" t="s">
        <v>17</v>
      </c>
      <c r="G923" s="2">
        <v>4</v>
      </c>
      <c r="H923" s="6">
        <v>39.99</v>
      </c>
      <c r="I923" s="4">
        <f t="shared" si="14"/>
        <v>159.96</v>
      </c>
      <c r="J923" s="2" t="s">
        <v>19</v>
      </c>
      <c r="K923" s="2" t="s">
        <v>28</v>
      </c>
      <c r="L923" s="2" t="s">
        <v>35</v>
      </c>
      <c r="M923" s="11" t="s">
        <v>697</v>
      </c>
    </row>
    <row r="924" spans="1:13" x14ac:dyDescent="0.25">
      <c r="A924" s="10">
        <v>1922</v>
      </c>
      <c r="B924" s="3">
        <v>45051</v>
      </c>
      <c r="C924" s="2" t="s">
        <v>14</v>
      </c>
      <c r="D924" s="2" t="s">
        <v>84</v>
      </c>
      <c r="E924" s="2" t="s">
        <v>72</v>
      </c>
      <c r="F924" s="2" t="s">
        <v>73</v>
      </c>
      <c r="G924" s="2">
        <v>1</v>
      </c>
      <c r="H924" s="6">
        <v>49.99</v>
      </c>
      <c r="I924" s="4">
        <f t="shared" si="14"/>
        <v>49.99</v>
      </c>
      <c r="J924" s="2" t="s">
        <v>33</v>
      </c>
      <c r="K924" s="2" t="s">
        <v>45</v>
      </c>
      <c r="L924" s="2" t="s">
        <v>35</v>
      </c>
      <c r="M924" s="11" t="s">
        <v>697</v>
      </c>
    </row>
    <row r="925" spans="1:13" x14ac:dyDescent="0.25">
      <c r="A925" s="10">
        <v>1923</v>
      </c>
      <c r="B925" s="5" t="s">
        <v>697</v>
      </c>
      <c r="C925" s="2" t="s">
        <v>14</v>
      </c>
      <c r="D925" s="2" t="s">
        <v>15</v>
      </c>
      <c r="E925" s="2" t="s">
        <v>127</v>
      </c>
      <c r="F925" s="2" t="s">
        <v>73</v>
      </c>
      <c r="G925" s="2">
        <v>2</v>
      </c>
      <c r="H925" s="6">
        <v>29.99</v>
      </c>
      <c r="I925" s="4">
        <f t="shared" si="14"/>
        <v>59.98</v>
      </c>
      <c r="J925" s="2" t="s">
        <v>54</v>
      </c>
      <c r="K925" s="2" t="s">
        <v>45</v>
      </c>
      <c r="L925" s="2" t="s">
        <v>29</v>
      </c>
      <c r="M925" s="11" t="s">
        <v>697</v>
      </c>
    </row>
    <row r="926" spans="1:13" x14ac:dyDescent="0.25">
      <c r="A926" s="10">
        <v>1924</v>
      </c>
      <c r="B926" s="3">
        <v>45408</v>
      </c>
      <c r="C926" s="2" t="s">
        <v>77</v>
      </c>
      <c r="D926" s="2" t="s">
        <v>78</v>
      </c>
      <c r="E926" s="2" t="s">
        <v>127</v>
      </c>
      <c r="F926" s="2" t="s">
        <v>73</v>
      </c>
      <c r="G926" s="4" t="s">
        <v>697</v>
      </c>
      <c r="H926" s="6">
        <v>29.99</v>
      </c>
      <c r="I926" s="4" t="str">
        <f t="shared" si="14"/>
        <v>N/A</v>
      </c>
      <c r="J926" s="2" t="s">
        <v>33</v>
      </c>
      <c r="K926" s="2" t="s">
        <v>34</v>
      </c>
      <c r="L926" s="2" t="s">
        <v>35</v>
      </c>
      <c r="M926" s="11" t="s">
        <v>697</v>
      </c>
    </row>
    <row r="927" spans="1:13" x14ac:dyDescent="0.25">
      <c r="A927" s="10">
        <v>1925</v>
      </c>
      <c r="B927" s="5" t="s">
        <v>697</v>
      </c>
      <c r="C927" s="2" t="s">
        <v>697</v>
      </c>
      <c r="D927" s="2" t="s">
        <v>124</v>
      </c>
      <c r="E927" s="2" t="s">
        <v>127</v>
      </c>
      <c r="F927" s="2" t="s">
        <v>73</v>
      </c>
      <c r="G927" s="4" t="s">
        <v>697</v>
      </c>
      <c r="H927" s="6">
        <v>29.99</v>
      </c>
      <c r="I927" s="4" t="str">
        <f t="shared" si="14"/>
        <v>N/A</v>
      </c>
      <c r="J927" s="2" t="s">
        <v>27</v>
      </c>
      <c r="K927" s="2" t="s">
        <v>28</v>
      </c>
      <c r="L927" s="2" t="s">
        <v>40</v>
      </c>
      <c r="M927" s="11" t="s">
        <v>697</v>
      </c>
    </row>
    <row r="928" spans="1:13" x14ac:dyDescent="0.25">
      <c r="A928" s="10">
        <v>1926</v>
      </c>
      <c r="B928" s="3">
        <v>45361</v>
      </c>
      <c r="C928" s="2" t="s">
        <v>37</v>
      </c>
      <c r="D928" s="2" t="s">
        <v>162</v>
      </c>
      <c r="E928" s="2" t="s">
        <v>92</v>
      </c>
      <c r="F928" s="2" t="s">
        <v>26</v>
      </c>
      <c r="G928" s="2">
        <v>5</v>
      </c>
      <c r="H928" s="6">
        <v>14.99</v>
      </c>
      <c r="I928" s="4">
        <f t="shared" si="14"/>
        <v>74.95</v>
      </c>
      <c r="J928" s="2" t="s">
        <v>54</v>
      </c>
      <c r="K928" s="2" t="s">
        <v>34</v>
      </c>
      <c r="L928" s="2" t="s">
        <v>40</v>
      </c>
      <c r="M928" s="11" t="s">
        <v>697</v>
      </c>
    </row>
    <row r="929" spans="1:13" x14ac:dyDescent="0.25">
      <c r="A929" s="10">
        <v>1927</v>
      </c>
      <c r="B929" s="3">
        <v>44984</v>
      </c>
      <c r="C929" s="2" t="s">
        <v>77</v>
      </c>
      <c r="D929" s="2" t="s">
        <v>78</v>
      </c>
      <c r="E929" s="2" t="s">
        <v>44</v>
      </c>
      <c r="F929" s="2" t="s">
        <v>17</v>
      </c>
      <c r="G929" s="2">
        <v>1</v>
      </c>
      <c r="H929" s="6">
        <v>15.99</v>
      </c>
      <c r="I929" s="4">
        <f t="shared" si="14"/>
        <v>15.99</v>
      </c>
      <c r="J929" s="2" t="s">
        <v>33</v>
      </c>
      <c r="K929" s="2" t="s">
        <v>28</v>
      </c>
      <c r="L929" s="2" t="s">
        <v>40</v>
      </c>
      <c r="M929" s="11" t="s">
        <v>697</v>
      </c>
    </row>
    <row r="930" spans="1:13" x14ac:dyDescent="0.25">
      <c r="A930" s="10">
        <v>1928</v>
      </c>
      <c r="B930" s="5" t="s">
        <v>697</v>
      </c>
      <c r="C930" s="2" t="s">
        <v>70</v>
      </c>
      <c r="D930" s="4" t="s">
        <v>697</v>
      </c>
      <c r="E930" s="2" t="s">
        <v>82</v>
      </c>
      <c r="F930" s="2" t="s">
        <v>60</v>
      </c>
      <c r="G930" s="4" t="s">
        <v>697</v>
      </c>
      <c r="H930" s="6">
        <v>4.99</v>
      </c>
      <c r="I930" s="4" t="str">
        <f t="shared" si="14"/>
        <v>N/A</v>
      </c>
      <c r="J930" s="2" t="s">
        <v>54</v>
      </c>
      <c r="K930" s="2" t="s">
        <v>55</v>
      </c>
      <c r="L930" s="2" t="s">
        <v>35</v>
      </c>
      <c r="M930" s="11" t="s">
        <v>697</v>
      </c>
    </row>
    <row r="931" spans="1:13" x14ac:dyDescent="0.25">
      <c r="A931" s="10">
        <v>1929</v>
      </c>
      <c r="B931" s="5" t="s">
        <v>697</v>
      </c>
      <c r="C931" s="2" t="s">
        <v>65</v>
      </c>
      <c r="D931" s="2" t="s">
        <v>66</v>
      </c>
      <c r="E931" s="2" t="s">
        <v>127</v>
      </c>
      <c r="F931" s="2" t="s">
        <v>73</v>
      </c>
      <c r="G931" s="2">
        <v>5</v>
      </c>
      <c r="H931" s="6">
        <v>29.99</v>
      </c>
      <c r="I931" s="4">
        <f t="shared" si="14"/>
        <v>149.94999999999999</v>
      </c>
      <c r="J931" s="2" t="s">
        <v>33</v>
      </c>
      <c r="K931" s="2" t="s">
        <v>28</v>
      </c>
      <c r="L931" s="2" t="s">
        <v>29</v>
      </c>
      <c r="M931" s="11" t="s">
        <v>697</v>
      </c>
    </row>
    <row r="932" spans="1:13" x14ac:dyDescent="0.25">
      <c r="A932" s="10">
        <v>1930</v>
      </c>
      <c r="B932" s="3">
        <v>45245</v>
      </c>
      <c r="C932" s="2" t="s">
        <v>42</v>
      </c>
      <c r="D932" s="2" t="s">
        <v>116</v>
      </c>
      <c r="E932" s="2" t="s">
        <v>82</v>
      </c>
      <c r="F932" s="2" t="s">
        <v>60</v>
      </c>
      <c r="G932" s="2">
        <v>3</v>
      </c>
      <c r="H932" s="6">
        <v>4.99</v>
      </c>
      <c r="I932" s="4">
        <f t="shared" si="14"/>
        <v>14.97</v>
      </c>
      <c r="J932" s="2" t="s">
        <v>19</v>
      </c>
      <c r="K932" s="2" t="s">
        <v>28</v>
      </c>
      <c r="L932" s="2" t="s">
        <v>35</v>
      </c>
      <c r="M932" s="11" t="s">
        <v>697</v>
      </c>
    </row>
    <row r="933" spans="1:13" x14ac:dyDescent="0.25">
      <c r="A933" s="10">
        <v>1931</v>
      </c>
      <c r="B933" s="5" t="s">
        <v>697</v>
      </c>
      <c r="C933" s="2" t="s">
        <v>23</v>
      </c>
      <c r="D933" s="2" t="s">
        <v>124</v>
      </c>
      <c r="E933" s="2" t="s">
        <v>44</v>
      </c>
      <c r="F933" s="2" t="s">
        <v>17</v>
      </c>
      <c r="G933" s="2">
        <v>1</v>
      </c>
      <c r="H933" s="6">
        <v>15.99</v>
      </c>
      <c r="I933" s="4">
        <f t="shared" si="14"/>
        <v>15.99</v>
      </c>
      <c r="J933" s="2" t="s">
        <v>33</v>
      </c>
      <c r="K933" s="2" t="s">
        <v>129</v>
      </c>
      <c r="L933" s="2" t="s">
        <v>35</v>
      </c>
      <c r="M933" s="11" t="s">
        <v>697</v>
      </c>
    </row>
    <row r="934" spans="1:13" x14ac:dyDescent="0.25">
      <c r="A934" s="10">
        <v>1932</v>
      </c>
      <c r="B934" s="3">
        <v>45394</v>
      </c>
      <c r="C934" s="2" t="s">
        <v>65</v>
      </c>
      <c r="D934" s="2" t="s">
        <v>123</v>
      </c>
      <c r="E934" s="2" t="s">
        <v>72</v>
      </c>
      <c r="F934" s="2" t="s">
        <v>73</v>
      </c>
      <c r="G934" s="2">
        <v>5</v>
      </c>
      <c r="H934" s="6">
        <v>49.99</v>
      </c>
      <c r="I934" s="4">
        <f t="shared" si="14"/>
        <v>249.95000000000002</v>
      </c>
      <c r="J934" s="2" t="s">
        <v>54</v>
      </c>
      <c r="K934" s="2" t="s">
        <v>45</v>
      </c>
      <c r="L934" s="2" t="s">
        <v>35</v>
      </c>
      <c r="M934" s="11" t="s">
        <v>697</v>
      </c>
    </row>
    <row r="935" spans="1:13" x14ac:dyDescent="0.25">
      <c r="A935" s="10">
        <v>1933</v>
      </c>
      <c r="B935" s="5" t="s">
        <v>697</v>
      </c>
      <c r="C935" s="2" t="s">
        <v>70</v>
      </c>
      <c r="D935" s="2" t="s">
        <v>71</v>
      </c>
      <c r="E935" s="2" t="s">
        <v>85</v>
      </c>
      <c r="F935" s="2" t="s">
        <v>26</v>
      </c>
      <c r="G935" s="2">
        <v>2</v>
      </c>
      <c r="H935" s="6">
        <v>99.99</v>
      </c>
      <c r="I935" s="4">
        <f t="shared" si="14"/>
        <v>199.98</v>
      </c>
      <c r="J935" s="2" t="s">
        <v>54</v>
      </c>
      <c r="K935" s="2" t="s">
        <v>55</v>
      </c>
      <c r="L935" s="2" t="s">
        <v>35</v>
      </c>
      <c r="M935" s="11" t="s">
        <v>697</v>
      </c>
    </row>
    <row r="936" spans="1:13" x14ac:dyDescent="0.25">
      <c r="A936" s="10">
        <v>1934</v>
      </c>
      <c r="B936" s="3">
        <v>45048</v>
      </c>
      <c r="C936" s="2" t="s">
        <v>42</v>
      </c>
      <c r="D936" s="2" t="s">
        <v>48</v>
      </c>
      <c r="E936" s="2" t="s">
        <v>72</v>
      </c>
      <c r="F936" s="2" t="s">
        <v>73</v>
      </c>
      <c r="G936" s="4" t="s">
        <v>697</v>
      </c>
      <c r="H936" s="6">
        <v>49.99</v>
      </c>
      <c r="I936" s="4" t="str">
        <f t="shared" si="14"/>
        <v>N/A</v>
      </c>
      <c r="J936" s="2" t="s">
        <v>33</v>
      </c>
      <c r="K936" s="2" t="s">
        <v>129</v>
      </c>
      <c r="L936" s="2" t="s">
        <v>35</v>
      </c>
      <c r="M936" s="11" t="s">
        <v>697</v>
      </c>
    </row>
    <row r="937" spans="1:13" x14ac:dyDescent="0.25">
      <c r="A937" s="10">
        <v>1935</v>
      </c>
      <c r="B937" s="3">
        <v>45274</v>
      </c>
      <c r="C937" s="2" t="s">
        <v>42</v>
      </c>
      <c r="D937" s="2" t="s">
        <v>48</v>
      </c>
      <c r="E937" s="2" t="s">
        <v>85</v>
      </c>
      <c r="F937" s="2" t="s">
        <v>26</v>
      </c>
      <c r="G937" s="4" t="s">
        <v>697</v>
      </c>
      <c r="H937" s="6">
        <v>99.99</v>
      </c>
      <c r="I937" s="4" t="str">
        <f t="shared" si="14"/>
        <v>N/A</v>
      </c>
      <c r="J937" s="2" t="s">
        <v>33</v>
      </c>
      <c r="K937" s="2" t="s">
        <v>28</v>
      </c>
      <c r="L937" s="2" t="s">
        <v>35</v>
      </c>
      <c r="M937" s="11" t="s">
        <v>697</v>
      </c>
    </row>
    <row r="938" spans="1:13" x14ac:dyDescent="0.25">
      <c r="A938" s="10">
        <v>1936</v>
      </c>
      <c r="B938" s="3">
        <v>45383</v>
      </c>
      <c r="C938" s="2" t="s">
        <v>70</v>
      </c>
      <c r="D938" s="2" t="s">
        <v>88</v>
      </c>
      <c r="E938" s="2" t="s">
        <v>39</v>
      </c>
      <c r="F938" s="2" t="s">
        <v>17</v>
      </c>
      <c r="G938" s="4" t="s">
        <v>697</v>
      </c>
      <c r="H938" s="6">
        <v>39.99</v>
      </c>
      <c r="I938" s="4" t="str">
        <f t="shared" si="14"/>
        <v>N/A</v>
      </c>
      <c r="J938" s="2" t="s">
        <v>33</v>
      </c>
      <c r="K938" s="2" t="s">
        <v>45</v>
      </c>
      <c r="L938" s="2" t="s">
        <v>35</v>
      </c>
      <c r="M938" s="11" t="s">
        <v>697</v>
      </c>
    </row>
    <row r="939" spans="1:13" x14ac:dyDescent="0.25">
      <c r="A939" s="10">
        <v>1937</v>
      </c>
      <c r="B939" s="3">
        <v>45125</v>
      </c>
      <c r="C939" s="2" t="s">
        <v>14</v>
      </c>
      <c r="D939" s="2" t="s">
        <v>15</v>
      </c>
      <c r="E939" s="2" t="s">
        <v>44</v>
      </c>
      <c r="F939" s="2" t="s">
        <v>17</v>
      </c>
      <c r="G939" s="2">
        <v>5</v>
      </c>
      <c r="H939" s="6">
        <v>15.99</v>
      </c>
      <c r="I939" s="4">
        <f t="shared" si="14"/>
        <v>79.95</v>
      </c>
      <c r="J939" s="2" t="s">
        <v>33</v>
      </c>
      <c r="K939" s="2" t="s">
        <v>129</v>
      </c>
      <c r="L939" s="2" t="s">
        <v>35</v>
      </c>
      <c r="M939" s="11" t="s">
        <v>697</v>
      </c>
    </row>
    <row r="940" spans="1:13" x14ac:dyDescent="0.25">
      <c r="A940" s="10">
        <v>1938</v>
      </c>
      <c r="B940" s="3">
        <v>45283</v>
      </c>
      <c r="C940" s="2" t="s">
        <v>65</v>
      </c>
      <c r="D940" s="2" t="s">
        <v>126</v>
      </c>
      <c r="E940" s="2" t="s">
        <v>44</v>
      </c>
      <c r="F940" s="2" t="s">
        <v>17</v>
      </c>
      <c r="G940" s="2">
        <v>4</v>
      </c>
      <c r="H940" s="6">
        <v>15.99</v>
      </c>
      <c r="I940" s="4">
        <f t="shared" si="14"/>
        <v>63.96</v>
      </c>
      <c r="J940" s="2" t="s">
        <v>33</v>
      </c>
      <c r="K940" s="2" t="s">
        <v>55</v>
      </c>
      <c r="L940" s="2" t="s">
        <v>29</v>
      </c>
      <c r="M940" s="11" t="s">
        <v>697</v>
      </c>
    </row>
    <row r="941" spans="1:13" x14ac:dyDescent="0.25">
      <c r="A941" s="10">
        <v>1939</v>
      </c>
      <c r="B941" s="3">
        <v>45262</v>
      </c>
      <c r="C941" s="2" t="s">
        <v>70</v>
      </c>
      <c r="D941" s="2" t="s">
        <v>71</v>
      </c>
      <c r="E941" s="2" t="s">
        <v>127</v>
      </c>
      <c r="F941" s="2" t="s">
        <v>73</v>
      </c>
      <c r="G941" s="2">
        <v>1</v>
      </c>
      <c r="H941" s="6">
        <v>29.99</v>
      </c>
      <c r="I941" s="4">
        <f t="shared" si="14"/>
        <v>29.99</v>
      </c>
      <c r="J941" s="2" t="s">
        <v>33</v>
      </c>
      <c r="K941" s="2" t="s">
        <v>28</v>
      </c>
      <c r="L941" s="2" t="s">
        <v>35</v>
      </c>
      <c r="M941" s="11" t="s">
        <v>697</v>
      </c>
    </row>
    <row r="942" spans="1:13" x14ac:dyDescent="0.25">
      <c r="A942" s="10">
        <v>1940</v>
      </c>
      <c r="B942" s="3">
        <v>45215</v>
      </c>
      <c r="C942" s="2" t="s">
        <v>37</v>
      </c>
      <c r="D942" s="2" t="s">
        <v>162</v>
      </c>
      <c r="E942" s="2" t="s">
        <v>82</v>
      </c>
      <c r="F942" s="2" t="s">
        <v>60</v>
      </c>
      <c r="G942" s="2">
        <v>4</v>
      </c>
      <c r="H942" s="6">
        <v>4.99</v>
      </c>
      <c r="I942" s="4">
        <f t="shared" si="14"/>
        <v>19.96</v>
      </c>
      <c r="J942" s="2" t="s">
        <v>19</v>
      </c>
      <c r="K942" s="2" t="s">
        <v>55</v>
      </c>
      <c r="L942" s="2" t="s">
        <v>40</v>
      </c>
      <c r="M942" s="11" t="s">
        <v>697</v>
      </c>
    </row>
    <row r="943" spans="1:13" x14ac:dyDescent="0.25">
      <c r="A943" s="10">
        <v>1941</v>
      </c>
      <c r="B943" s="3">
        <v>45234</v>
      </c>
      <c r="C943" s="2" t="s">
        <v>14</v>
      </c>
      <c r="D943" s="2" t="s">
        <v>84</v>
      </c>
      <c r="E943" s="2" t="s">
        <v>39</v>
      </c>
      <c r="F943" s="2" t="s">
        <v>17</v>
      </c>
      <c r="G943" s="2">
        <v>2</v>
      </c>
      <c r="H943" s="6">
        <v>39.99</v>
      </c>
      <c r="I943" s="4">
        <f t="shared" si="14"/>
        <v>79.98</v>
      </c>
      <c r="J943" s="2" t="s">
        <v>19</v>
      </c>
      <c r="K943" s="2" t="s">
        <v>28</v>
      </c>
      <c r="L943" s="2" t="s">
        <v>35</v>
      </c>
      <c r="M943" s="11" t="s">
        <v>697</v>
      </c>
    </row>
    <row r="944" spans="1:13" x14ac:dyDescent="0.25">
      <c r="A944" s="10">
        <v>1942</v>
      </c>
      <c r="B944" s="3">
        <v>45292</v>
      </c>
      <c r="C944" s="2" t="s">
        <v>37</v>
      </c>
      <c r="D944" s="2" t="s">
        <v>162</v>
      </c>
      <c r="E944" s="2" t="s">
        <v>92</v>
      </c>
      <c r="F944" s="2" t="s">
        <v>26</v>
      </c>
      <c r="G944" s="4" t="s">
        <v>697</v>
      </c>
      <c r="H944" s="6">
        <v>14.99</v>
      </c>
      <c r="I944" s="4" t="str">
        <f t="shared" si="14"/>
        <v>N/A</v>
      </c>
      <c r="J944" s="2" t="s">
        <v>33</v>
      </c>
      <c r="K944" s="2" t="s">
        <v>45</v>
      </c>
      <c r="L944" s="2" t="s">
        <v>35</v>
      </c>
      <c r="M944" s="11" t="s">
        <v>697</v>
      </c>
    </row>
    <row r="945" spans="1:13" x14ac:dyDescent="0.25">
      <c r="A945" s="10">
        <v>1943</v>
      </c>
      <c r="B945" s="3">
        <v>45420</v>
      </c>
      <c r="C945" s="2" t="s">
        <v>23</v>
      </c>
      <c r="D945" s="4" t="s">
        <v>697</v>
      </c>
      <c r="E945" s="2" t="s">
        <v>92</v>
      </c>
      <c r="F945" s="2" t="s">
        <v>26</v>
      </c>
      <c r="G945" s="2">
        <v>3</v>
      </c>
      <c r="H945" s="6">
        <v>14.99</v>
      </c>
      <c r="I945" s="4">
        <f t="shared" si="14"/>
        <v>44.97</v>
      </c>
      <c r="J945" s="2" t="s">
        <v>27</v>
      </c>
      <c r="K945" s="2" t="s">
        <v>45</v>
      </c>
      <c r="L945" s="2" t="s">
        <v>35</v>
      </c>
      <c r="M945" s="11" t="s">
        <v>697</v>
      </c>
    </row>
    <row r="946" spans="1:13" x14ac:dyDescent="0.25">
      <c r="A946" s="10">
        <v>1944</v>
      </c>
      <c r="B946" s="3">
        <v>45005</v>
      </c>
      <c r="C946" s="2" t="s">
        <v>14</v>
      </c>
      <c r="D946" s="2" t="s">
        <v>84</v>
      </c>
      <c r="E946" s="2" t="s">
        <v>82</v>
      </c>
      <c r="F946" s="2" t="s">
        <v>60</v>
      </c>
      <c r="G946" s="4" t="s">
        <v>697</v>
      </c>
      <c r="H946" s="6">
        <v>4.99</v>
      </c>
      <c r="I946" s="4" t="str">
        <f t="shared" si="14"/>
        <v>N/A</v>
      </c>
      <c r="J946" s="2" t="s">
        <v>27</v>
      </c>
      <c r="K946" s="2" t="s">
        <v>28</v>
      </c>
      <c r="L946" s="2" t="s">
        <v>29</v>
      </c>
      <c r="M946" s="11" t="s">
        <v>697</v>
      </c>
    </row>
    <row r="947" spans="1:13" x14ac:dyDescent="0.25">
      <c r="A947" s="10">
        <v>1945</v>
      </c>
      <c r="B947" s="3">
        <v>44960</v>
      </c>
      <c r="C947" s="2" t="s">
        <v>65</v>
      </c>
      <c r="D947" s="2" t="s">
        <v>66</v>
      </c>
      <c r="E947" s="2" t="s">
        <v>92</v>
      </c>
      <c r="F947" s="2" t="s">
        <v>26</v>
      </c>
      <c r="G947" s="2">
        <v>1</v>
      </c>
      <c r="H947" s="6">
        <v>14.99</v>
      </c>
      <c r="I947" s="4">
        <f t="shared" si="14"/>
        <v>14.99</v>
      </c>
      <c r="J947" s="2" t="s">
        <v>54</v>
      </c>
      <c r="K947" s="2" t="s">
        <v>129</v>
      </c>
      <c r="L947" s="2" t="s">
        <v>35</v>
      </c>
      <c r="M947" s="11" t="s">
        <v>697</v>
      </c>
    </row>
    <row r="948" spans="1:13" x14ac:dyDescent="0.25">
      <c r="A948" s="10">
        <v>1946</v>
      </c>
      <c r="B948" s="3">
        <v>45246</v>
      </c>
      <c r="C948" s="2" t="s">
        <v>14</v>
      </c>
      <c r="D948" s="2" t="s">
        <v>75</v>
      </c>
      <c r="E948" s="2" t="s">
        <v>92</v>
      </c>
      <c r="F948" s="2" t="s">
        <v>26</v>
      </c>
      <c r="G948" s="4" t="s">
        <v>697</v>
      </c>
      <c r="H948" s="6">
        <v>14.99</v>
      </c>
      <c r="I948" s="4" t="str">
        <f t="shared" si="14"/>
        <v>N/A</v>
      </c>
      <c r="J948" s="2" t="s">
        <v>33</v>
      </c>
      <c r="K948" s="2" t="s">
        <v>55</v>
      </c>
      <c r="L948" s="2" t="s">
        <v>35</v>
      </c>
      <c r="M948" s="11" t="s">
        <v>697</v>
      </c>
    </row>
    <row r="949" spans="1:13" x14ac:dyDescent="0.25">
      <c r="A949" s="10">
        <v>1947</v>
      </c>
      <c r="B949" s="5" t="s">
        <v>697</v>
      </c>
      <c r="C949" s="2" t="s">
        <v>70</v>
      </c>
      <c r="D949" s="4" t="s">
        <v>697</v>
      </c>
      <c r="E949" s="2" t="s">
        <v>127</v>
      </c>
      <c r="F949" s="2" t="s">
        <v>73</v>
      </c>
      <c r="G949" s="2">
        <v>1</v>
      </c>
      <c r="H949" s="6">
        <v>29.99</v>
      </c>
      <c r="I949" s="4">
        <f t="shared" si="14"/>
        <v>29.99</v>
      </c>
      <c r="J949" s="2" t="s">
        <v>54</v>
      </c>
      <c r="K949" s="2" t="s">
        <v>34</v>
      </c>
      <c r="L949" s="2" t="s">
        <v>35</v>
      </c>
      <c r="M949" s="11" t="s">
        <v>697</v>
      </c>
    </row>
    <row r="950" spans="1:13" x14ac:dyDescent="0.25">
      <c r="A950" s="10">
        <v>1948</v>
      </c>
      <c r="B950" s="3">
        <v>45091</v>
      </c>
      <c r="C950" s="2" t="s">
        <v>77</v>
      </c>
      <c r="D950" s="2" t="s">
        <v>78</v>
      </c>
      <c r="E950" s="2" t="s">
        <v>85</v>
      </c>
      <c r="F950" s="2" t="s">
        <v>26</v>
      </c>
      <c r="G950" s="2">
        <v>2</v>
      </c>
      <c r="H950" s="6">
        <v>99.99</v>
      </c>
      <c r="I950" s="4">
        <f t="shared" si="14"/>
        <v>199.98</v>
      </c>
      <c r="J950" s="2" t="s">
        <v>33</v>
      </c>
      <c r="K950" s="2" t="s">
        <v>45</v>
      </c>
      <c r="L950" s="2" t="s">
        <v>35</v>
      </c>
      <c r="M950" s="11" t="s">
        <v>697</v>
      </c>
    </row>
    <row r="951" spans="1:13" x14ac:dyDescent="0.25">
      <c r="A951" s="10">
        <v>1949</v>
      </c>
      <c r="B951" s="3">
        <v>45105</v>
      </c>
      <c r="C951" s="2" t="s">
        <v>77</v>
      </c>
      <c r="D951" s="2" t="s">
        <v>78</v>
      </c>
      <c r="E951" s="2" t="s">
        <v>72</v>
      </c>
      <c r="F951" s="2" t="s">
        <v>73</v>
      </c>
      <c r="G951" s="2">
        <v>5</v>
      </c>
      <c r="H951" s="6">
        <v>49.99</v>
      </c>
      <c r="I951" s="4">
        <f t="shared" si="14"/>
        <v>249.95000000000002</v>
      </c>
      <c r="J951" s="2" t="s">
        <v>33</v>
      </c>
      <c r="K951" s="2" t="s">
        <v>28</v>
      </c>
      <c r="L951" s="2" t="s">
        <v>35</v>
      </c>
      <c r="M951" s="11" t="s">
        <v>697</v>
      </c>
    </row>
    <row r="952" spans="1:13" x14ac:dyDescent="0.25">
      <c r="A952" s="10">
        <v>1950</v>
      </c>
      <c r="B952" s="3">
        <v>45172</v>
      </c>
      <c r="C952" s="2" t="s">
        <v>14</v>
      </c>
      <c r="D952" s="2" t="s">
        <v>84</v>
      </c>
      <c r="E952" s="2" t="s">
        <v>127</v>
      </c>
      <c r="F952" s="2" t="s">
        <v>73</v>
      </c>
      <c r="G952" s="2">
        <v>1</v>
      </c>
      <c r="H952" s="6">
        <v>29.99</v>
      </c>
      <c r="I952" s="4">
        <f t="shared" si="14"/>
        <v>29.99</v>
      </c>
      <c r="J952" s="2" t="s">
        <v>27</v>
      </c>
      <c r="K952" s="2" t="s">
        <v>45</v>
      </c>
      <c r="L952" s="2" t="s">
        <v>35</v>
      </c>
      <c r="M952" s="11" t="s">
        <v>697</v>
      </c>
    </row>
    <row r="953" spans="1:13" x14ac:dyDescent="0.25">
      <c r="A953" s="10">
        <v>1951</v>
      </c>
      <c r="B953" s="5" t="s">
        <v>697</v>
      </c>
      <c r="C953" s="2" t="s">
        <v>23</v>
      </c>
      <c r="D953" s="2" t="s">
        <v>81</v>
      </c>
      <c r="E953" s="2" t="s">
        <v>72</v>
      </c>
      <c r="F953" s="2" t="s">
        <v>73</v>
      </c>
      <c r="G953" s="2">
        <v>1</v>
      </c>
      <c r="H953" s="6">
        <v>49.99</v>
      </c>
      <c r="I953" s="4">
        <f t="shared" si="14"/>
        <v>49.99</v>
      </c>
      <c r="J953" s="2" t="s">
        <v>54</v>
      </c>
      <c r="K953" s="2" t="s">
        <v>45</v>
      </c>
      <c r="L953" s="2" t="s">
        <v>35</v>
      </c>
      <c r="M953" s="11" t="s">
        <v>697</v>
      </c>
    </row>
    <row r="954" spans="1:13" x14ac:dyDescent="0.25">
      <c r="A954" s="10">
        <v>1952</v>
      </c>
      <c r="B954" s="3">
        <v>45006</v>
      </c>
      <c r="C954" s="2" t="s">
        <v>42</v>
      </c>
      <c r="D954" s="2" t="s">
        <v>48</v>
      </c>
      <c r="E954" s="2" t="s">
        <v>44</v>
      </c>
      <c r="F954" s="2" t="s">
        <v>17</v>
      </c>
      <c r="G954" s="2">
        <v>4</v>
      </c>
      <c r="H954" s="6">
        <v>15.99</v>
      </c>
      <c r="I954" s="4">
        <f t="shared" si="14"/>
        <v>63.96</v>
      </c>
      <c r="J954" s="2" t="s">
        <v>54</v>
      </c>
      <c r="K954" s="2" t="s">
        <v>28</v>
      </c>
      <c r="L954" s="2" t="s">
        <v>35</v>
      </c>
      <c r="M954" s="11" t="s">
        <v>697</v>
      </c>
    </row>
    <row r="955" spans="1:13" x14ac:dyDescent="0.25">
      <c r="A955" s="10">
        <v>1953</v>
      </c>
      <c r="B955" s="5" t="s">
        <v>697</v>
      </c>
      <c r="C955" s="2" t="s">
        <v>42</v>
      </c>
      <c r="D955" s="2" t="s">
        <v>43</v>
      </c>
      <c r="E955" s="2" t="s">
        <v>52</v>
      </c>
      <c r="F955" s="2" t="s">
        <v>53</v>
      </c>
      <c r="G955" s="2">
        <v>5</v>
      </c>
      <c r="H955" s="6">
        <v>59.99</v>
      </c>
      <c r="I955" s="4">
        <f t="shared" si="14"/>
        <v>299.95</v>
      </c>
      <c r="J955" s="2" t="s">
        <v>19</v>
      </c>
      <c r="K955" s="2" t="s">
        <v>45</v>
      </c>
      <c r="L955" s="2" t="s">
        <v>35</v>
      </c>
      <c r="M955" s="11" t="s">
        <v>697</v>
      </c>
    </row>
    <row r="956" spans="1:13" x14ac:dyDescent="0.25">
      <c r="A956" s="10">
        <v>1954</v>
      </c>
      <c r="B956" s="3">
        <v>45206</v>
      </c>
      <c r="C956" s="2" t="s">
        <v>42</v>
      </c>
      <c r="D956" s="2" t="s">
        <v>116</v>
      </c>
      <c r="E956" s="2" t="s">
        <v>39</v>
      </c>
      <c r="F956" s="2" t="s">
        <v>17</v>
      </c>
      <c r="G956" s="2">
        <v>1</v>
      </c>
      <c r="H956" s="6">
        <v>39.99</v>
      </c>
      <c r="I956" s="4">
        <f t="shared" si="14"/>
        <v>39.99</v>
      </c>
      <c r="J956" s="2" t="s">
        <v>19</v>
      </c>
      <c r="K956" s="2" t="s">
        <v>129</v>
      </c>
      <c r="L956" s="2" t="s">
        <v>35</v>
      </c>
      <c r="M956" s="11" t="s">
        <v>697</v>
      </c>
    </row>
    <row r="957" spans="1:13" x14ac:dyDescent="0.25">
      <c r="A957" s="10">
        <v>1955</v>
      </c>
      <c r="B957" s="3">
        <v>44992</v>
      </c>
      <c r="C957" s="2" t="s">
        <v>697</v>
      </c>
      <c r="D957" s="2" t="s">
        <v>75</v>
      </c>
      <c r="E957" s="2" t="s">
        <v>52</v>
      </c>
      <c r="F957" s="2" t="s">
        <v>53</v>
      </c>
      <c r="G957" s="4" t="s">
        <v>697</v>
      </c>
      <c r="H957" s="6">
        <v>59.99</v>
      </c>
      <c r="I957" s="4" t="str">
        <f t="shared" si="14"/>
        <v>N/A</v>
      </c>
      <c r="J957" s="2" t="s">
        <v>19</v>
      </c>
      <c r="K957" s="2" t="s">
        <v>55</v>
      </c>
      <c r="L957" s="2" t="s">
        <v>35</v>
      </c>
      <c r="M957" s="11" t="s">
        <v>697</v>
      </c>
    </row>
    <row r="958" spans="1:13" x14ac:dyDescent="0.25">
      <c r="A958" s="10">
        <v>1956</v>
      </c>
      <c r="B958" s="3">
        <v>45073</v>
      </c>
      <c r="C958" s="2" t="s">
        <v>37</v>
      </c>
      <c r="D958" s="2" t="s">
        <v>38</v>
      </c>
      <c r="E958" s="2" t="s">
        <v>44</v>
      </c>
      <c r="F958" s="2" t="s">
        <v>17</v>
      </c>
      <c r="G958" s="2">
        <v>5</v>
      </c>
      <c r="H958" s="6">
        <v>15.99</v>
      </c>
      <c r="I958" s="4">
        <f t="shared" si="14"/>
        <v>79.95</v>
      </c>
      <c r="J958" s="2" t="s">
        <v>33</v>
      </c>
      <c r="K958" s="2" t="s">
        <v>45</v>
      </c>
      <c r="L958" s="2" t="s">
        <v>35</v>
      </c>
      <c r="M958" s="11" t="s">
        <v>697</v>
      </c>
    </row>
    <row r="959" spans="1:13" x14ac:dyDescent="0.25">
      <c r="A959" s="10">
        <v>1957</v>
      </c>
      <c r="B959" s="3">
        <v>45135</v>
      </c>
      <c r="C959" s="2" t="s">
        <v>23</v>
      </c>
      <c r="D959" s="2" t="s">
        <v>124</v>
      </c>
      <c r="E959" s="2" t="s">
        <v>92</v>
      </c>
      <c r="F959" s="2" t="s">
        <v>26</v>
      </c>
      <c r="G959" s="2">
        <v>5</v>
      </c>
      <c r="H959" s="6">
        <v>14.99</v>
      </c>
      <c r="I959" s="4">
        <f t="shared" si="14"/>
        <v>74.95</v>
      </c>
      <c r="J959" s="2" t="s">
        <v>33</v>
      </c>
      <c r="K959" s="2" t="s">
        <v>34</v>
      </c>
      <c r="L959" s="2" t="s">
        <v>40</v>
      </c>
      <c r="M959" s="11" t="s">
        <v>697</v>
      </c>
    </row>
    <row r="960" spans="1:13" x14ac:dyDescent="0.25">
      <c r="A960" s="10">
        <v>1958</v>
      </c>
      <c r="B960" s="3">
        <v>45008</v>
      </c>
      <c r="C960" s="2" t="s">
        <v>70</v>
      </c>
      <c r="D960" s="2" t="s">
        <v>88</v>
      </c>
      <c r="E960" s="2" t="s">
        <v>127</v>
      </c>
      <c r="F960" s="2" t="s">
        <v>73</v>
      </c>
      <c r="G960" s="2">
        <v>1</v>
      </c>
      <c r="H960" s="6">
        <v>29.99</v>
      </c>
      <c r="I960" s="4">
        <f t="shared" si="14"/>
        <v>29.99</v>
      </c>
      <c r="J960" s="2" t="s">
        <v>33</v>
      </c>
      <c r="K960" s="2" t="s">
        <v>34</v>
      </c>
      <c r="L960" s="2" t="s">
        <v>40</v>
      </c>
      <c r="M960" s="11" t="s">
        <v>697</v>
      </c>
    </row>
    <row r="961" spans="1:13" x14ac:dyDescent="0.25">
      <c r="A961" s="10">
        <v>1959</v>
      </c>
      <c r="B961" s="5" t="s">
        <v>697</v>
      </c>
      <c r="C961" s="2" t="s">
        <v>70</v>
      </c>
      <c r="D961" s="2" t="s">
        <v>71</v>
      </c>
      <c r="E961" s="2" t="s">
        <v>72</v>
      </c>
      <c r="F961" s="2" t="s">
        <v>73</v>
      </c>
      <c r="G961" s="2">
        <v>3</v>
      </c>
      <c r="H961" s="6">
        <v>49.99</v>
      </c>
      <c r="I961" s="4">
        <f t="shared" si="14"/>
        <v>149.97</v>
      </c>
      <c r="J961" s="2" t="s">
        <v>33</v>
      </c>
      <c r="K961" s="2" t="s">
        <v>28</v>
      </c>
      <c r="L961" s="2" t="s">
        <v>29</v>
      </c>
      <c r="M961" s="11" t="s">
        <v>697</v>
      </c>
    </row>
    <row r="962" spans="1:13" x14ac:dyDescent="0.25">
      <c r="A962" s="10">
        <v>1960</v>
      </c>
      <c r="B962" s="3">
        <v>45009</v>
      </c>
      <c r="C962" s="2" t="s">
        <v>37</v>
      </c>
      <c r="D962" s="2" t="s">
        <v>38</v>
      </c>
      <c r="E962" s="2" t="s">
        <v>52</v>
      </c>
      <c r="F962" s="2" t="s">
        <v>53</v>
      </c>
      <c r="G962" s="2">
        <v>5</v>
      </c>
      <c r="H962" s="6">
        <v>59.99</v>
      </c>
      <c r="I962" s="4">
        <f t="shared" si="14"/>
        <v>299.95</v>
      </c>
      <c r="J962" s="2" t="s">
        <v>54</v>
      </c>
      <c r="K962" s="2" t="s">
        <v>28</v>
      </c>
      <c r="L962" s="2" t="s">
        <v>40</v>
      </c>
      <c r="M962" s="11" t="s">
        <v>697</v>
      </c>
    </row>
    <row r="963" spans="1:13" x14ac:dyDescent="0.25">
      <c r="A963" s="10">
        <v>1961</v>
      </c>
      <c r="B963" s="3">
        <v>45327</v>
      </c>
      <c r="C963" s="2" t="s">
        <v>37</v>
      </c>
      <c r="D963" s="2" t="s">
        <v>169</v>
      </c>
      <c r="E963" s="2" t="s">
        <v>82</v>
      </c>
      <c r="F963" s="2" t="s">
        <v>60</v>
      </c>
      <c r="G963" s="2">
        <v>1</v>
      </c>
      <c r="H963" s="6">
        <v>4.99</v>
      </c>
      <c r="I963" s="4">
        <f t="shared" ref="I963:I1026" si="15">IF(G963="N/A","N/A",PRODUCT(G963,H963))</f>
        <v>4.99</v>
      </c>
      <c r="J963" s="2" t="s">
        <v>19</v>
      </c>
      <c r="K963" s="2" t="s">
        <v>28</v>
      </c>
      <c r="L963" s="2" t="s">
        <v>35</v>
      </c>
      <c r="M963" s="11" t="s">
        <v>697</v>
      </c>
    </row>
    <row r="964" spans="1:13" x14ac:dyDescent="0.25">
      <c r="A964" s="10">
        <v>1962</v>
      </c>
      <c r="B964" s="3">
        <v>45057</v>
      </c>
      <c r="C964" s="2" t="s">
        <v>42</v>
      </c>
      <c r="D964" s="2" t="s">
        <v>48</v>
      </c>
      <c r="E964" s="2" t="s">
        <v>39</v>
      </c>
      <c r="F964" s="2" t="s">
        <v>17</v>
      </c>
      <c r="G964" s="2">
        <v>1</v>
      </c>
      <c r="H964" s="6">
        <v>39.99</v>
      </c>
      <c r="I964" s="4">
        <f t="shared" si="15"/>
        <v>39.99</v>
      </c>
      <c r="J964" s="2" t="s">
        <v>33</v>
      </c>
      <c r="K964" s="2" t="s">
        <v>45</v>
      </c>
      <c r="L964" s="2" t="s">
        <v>40</v>
      </c>
      <c r="M964" s="11" t="s">
        <v>697</v>
      </c>
    </row>
    <row r="965" spans="1:13" x14ac:dyDescent="0.25">
      <c r="A965" s="10">
        <v>1963</v>
      </c>
      <c r="B965" s="3">
        <v>45168</v>
      </c>
      <c r="C965" s="2" t="s">
        <v>65</v>
      </c>
      <c r="D965" s="2" t="s">
        <v>126</v>
      </c>
      <c r="E965" s="2" t="s">
        <v>44</v>
      </c>
      <c r="F965" s="2" t="s">
        <v>17</v>
      </c>
      <c r="G965" s="2">
        <v>1</v>
      </c>
      <c r="H965" s="6">
        <v>15.99</v>
      </c>
      <c r="I965" s="4">
        <f t="shared" si="15"/>
        <v>15.99</v>
      </c>
      <c r="J965" s="2" t="s">
        <v>27</v>
      </c>
      <c r="K965" s="2" t="s">
        <v>34</v>
      </c>
      <c r="L965" s="2" t="s">
        <v>29</v>
      </c>
      <c r="M965" s="11" t="s">
        <v>697</v>
      </c>
    </row>
    <row r="966" spans="1:13" x14ac:dyDescent="0.25">
      <c r="A966" s="10">
        <v>1964</v>
      </c>
      <c r="B966" s="5" t="s">
        <v>697</v>
      </c>
      <c r="C966" s="2" t="s">
        <v>23</v>
      </c>
      <c r="D966" s="2" t="s">
        <v>81</v>
      </c>
      <c r="E966" s="2" t="s">
        <v>127</v>
      </c>
      <c r="F966" s="2" t="s">
        <v>73</v>
      </c>
      <c r="G966" s="2">
        <v>5</v>
      </c>
      <c r="H966" s="6">
        <v>29.99</v>
      </c>
      <c r="I966" s="4">
        <f t="shared" si="15"/>
        <v>149.94999999999999</v>
      </c>
      <c r="J966" s="2" t="s">
        <v>19</v>
      </c>
      <c r="K966" s="2" t="s">
        <v>45</v>
      </c>
      <c r="L966" s="2" t="s">
        <v>35</v>
      </c>
      <c r="M966" s="11" t="s">
        <v>697</v>
      </c>
    </row>
    <row r="967" spans="1:13" x14ac:dyDescent="0.25">
      <c r="A967" s="10">
        <v>1965</v>
      </c>
      <c r="B967" s="3">
        <v>45095</v>
      </c>
      <c r="C967" s="2" t="s">
        <v>23</v>
      </c>
      <c r="D967" s="2" t="s">
        <v>24</v>
      </c>
      <c r="E967" s="2" t="s">
        <v>39</v>
      </c>
      <c r="F967" s="2" t="s">
        <v>17</v>
      </c>
      <c r="G967" s="2">
        <v>1</v>
      </c>
      <c r="H967" s="6">
        <v>39.99</v>
      </c>
      <c r="I967" s="4">
        <f t="shared" si="15"/>
        <v>39.99</v>
      </c>
      <c r="J967" s="2" t="s">
        <v>54</v>
      </c>
      <c r="K967" s="2" t="s">
        <v>129</v>
      </c>
      <c r="L967" s="2" t="s">
        <v>35</v>
      </c>
      <c r="M967" s="11" t="s">
        <v>697</v>
      </c>
    </row>
    <row r="968" spans="1:13" x14ac:dyDescent="0.25">
      <c r="A968" s="10">
        <v>1966</v>
      </c>
      <c r="B968" s="3">
        <v>44997</v>
      </c>
      <c r="C968" s="2" t="s">
        <v>42</v>
      </c>
      <c r="D968" s="2" t="s">
        <v>48</v>
      </c>
      <c r="E968" s="2" t="s">
        <v>82</v>
      </c>
      <c r="F968" s="2" t="s">
        <v>60</v>
      </c>
      <c r="G968" s="2">
        <v>3</v>
      </c>
      <c r="H968" s="6">
        <v>4.99</v>
      </c>
      <c r="I968" s="4">
        <f t="shared" si="15"/>
        <v>14.97</v>
      </c>
      <c r="J968" s="2" t="s">
        <v>27</v>
      </c>
      <c r="K968" s="2" t="s">
        <v>129</v>
      </c>
      <c r="L968" s="2" t="s">
        <v>35</v>
      </c>
      <c r="M968" s="11" t="s">
        <v>697</v>
      </c>
    </row>
    <row r="969" spans="1:13" x14ac:dyDescent="0.25">
      <c r="A969" s="10">
        <v>1967</v>
      </c>
      <c r="B969" s="3">
        <v>45131</v>
      </c>
      <c r="C969" s="2" t="s">
        <v>23</v>
      </c>
      <c r="D969" s="2" t="s">
        <v>124</v>
      </c>
      <c r="E969" s="2" t="s">
        <v>72</v>
      </c>
      <c r="F969" s="2" t="s">
        <v>73</v>
      </c>
      <c r="G969" s="2">
        <v>5</v>
      </c>
      <c r="H969" s="6">
        <v>49.99</v>
      </c>
      <c r="I969" s="4">
        <f t="shared" si="15"/>
        <v>249.95000000000002</v>
      </c>
      <c r="J969" s="2" t="s">
        <v>19</v>
      </c>
      <c r="K969" s="2" t="s">
        <v>45</v>
      </c>
      <c r="L969" s="2" t="s">
        <v>35</v>
      </c>
      <c r="M969" s="11" t="s">
        <v>697</v>
      </c>
    </row>
    <row r="970" spans="1:13" x14ac:dyDescent="0.25">
      <c r="A970" s="10">
        <v>1968</v>
      </c>
      <c r="B970" s="3">
        <v>45129</v>
      </c>
      <c r="C970" s="2" t="s">
        <v>65</v>
      </c>
      <c r="D970" s="2" t="s">
        <v>123</v>
      </c>
      <c r="E970" s="2" t="s">
        <v>82</v>
      </c>
      <c r="F970" s="2" t="s">
        <v>60</v>
      </c>
      <c r="G970" s="2">
        <v>1</v>
      </c>
      <c r="H970" s="6">
        <v>4.99</v>
      </c>
      <c r="I970" s="4">
        <f t="shared" si="15"/>
        <v>4.99</v>
      </c>
      <c r="J970" s="2" t="s">
        <v>19</v>
      </c>
      <c r="K970" s="2" t="s">
        <v>28</v>
      </c>
      <c r="L970" s="2" t="s">
        <v>35</v>
      </c>
      <c r="M970" s="11" t="s">
        <v>697</v>
      </c>
    </row>
    <row r="971" spans="1:13" x14ac:dyDescent="0.25">
      <c r="A971" s="10">
        <v>1969</v>
      </c>
      <c r="B971" s="3">
        <v>45143</v>
      </c>
      <c r="C971" s="2" t="s">
        <v>697</v>
      </c>
      <c r="D971" s="2" t="s">
        <v>162</v>
      </c>
      <c r="E971" s="2" t="s">
        <v>72</v>
      </c>
      <c r="F971" s="2" t="s">
        <v>73</v>
      </c>
      <c r="G971" s="2">
        <v>2</v>
      </c>
      <c r="H971" s="6">
        <v>49.99</v>
      </c>
      <c r="I971" s="4">
        <f t="shared" si="15"/>
        <v>99.98</v>
      </c>
      <c r="J971" s="2" t="s">
        <v>33</v>
      </c>
      <c r="K971" s="2" t="s">
        <v>28</v>
      </c>
      <c r="L971" s="2" t="s">
        <v>35</v>
      </c>
      <c r="M971" s="11" t="s">
        <v>697</v>
      </c>
    </row>
    <row r="972" spans="1:13" x14ac:dyDescent="0.25">
      <c r="A972" s="10">
        <v>1970</v>
      </c>
      <c r="B972" s="3">
        <v>45093</v>
      </c>
      <c r="C972" s="2" t="s">
        <v>14</v>
      </c>
      <c r="D972" s="2" t="s">
        <v>15</v>
      </c>
      <c r="E972" s="2" t="s">
        <v>44</v>
      </c>
      <c r="F972" s="2" t="s">
        <v>17</v>
      </c>
      <c r="G972" s="2">
        <v>1</v>
      </c>
      <c r="H972" s="6">
        <v>15.99</v>
      </c>
      <c r="I972" s="4">
        <f t="shared" si="15"/>
        <v>15.99</v>
      </c>
      <c r="J972" s="2" t="s">
        <v>33</v>
      </c>
      <c r="K972" s="2" t="s">
        <v>28</v>
      </c>
      <c r="L972" s="2" t="s">
        <v>35</v>
      </c>
      <c r="M972" s="11" t="s">
        <v>697</v>
      </c>
    </row>
    <row r="973" spans="1:13" x14ac:dyDescent="0.25">
      <c r="A973" s="10">
        <v>1971</v>
      </c>
      <c r="B973" s="3">
        <v>45189</v>
      </c>
      <c r="C973" s="2" t="s">
        <v>14</v>
      </c>
      <c r="D973" s="2" t="s">
        <v>15</v>
      </c>
      <c r="E973" s="2" t="s">
        <v>72</v>
      </c>
      <c r="F973" s="2" t="s">
        <v>73</v>
      </c>
      <c r="G973" s="2">
        <v>1</v>
      </c>
      <c r="H973" s="6">
        <v>49.99</v>
      </c>
      <c r="I973" s="4">
        <f t="shared" si="15"/>
        <v>49.99</v>
      </c>
      <c r="J973" s="2" t="s">
        <v>54</v>
      </c>
      <c r="K973" s="2" t="s">
        <v>28</v>
      </c>
      <c r="L973" s="2" t="s">
        <v>35</v>
      </c>
      <c r="M973" s="11" t="s">
        <v>697</v>
      </c>
    </row>
    <row r="974" spans="1:13" x14ac:dyDescent="0.25">
      <c r="A974" s="10">
        <v>1972</v>
      </c>
      <c r="B974" s="3">
        <v>45341</v>
      </c>
      <c r="C974" s="2" t="s">
        <v>70</v>
      </c>
      <c r="D974" s="2" t="s">
        <v>131</v>
      </c>
      <c r="E974" s="2" t="s">
        <v>52</v>
      </c>
      <c r="F974" s="2" t="s">
        <v>53</v>
      </c>
      <c r="G974" s="2">
        <v>1</v>
      </c>
      <c r="H974" s="6">
        <v>59.99</v>
      </c>
      <c r="I974" s="4">
        <f t="shared" si="15"/>
        <v>59.99</v>
      </c>
      <c r="J974" s="2" t="s">
        <v>33</v>
      </c>
      <c r="K974" s="2" t="s">
        <v>28</v>
      </c>
      <c r="L974" s="2" t="s">
        <v>35</v>
      </c>
      <c r="M974" s="11" t="s">
        <v>697</v>
      </c>
    </row>
    <row r="975" spans="1:13" x14ac:dyDescent="0.25">
      <c r="A975" s="10">
        <v>1973</v>
      </c>
      <c r="B975" s="3">
        <v>45358</v>
      </c>
      <c r="C975" s="2" t="s">
        <v>23</v>
      </c>
      <c r="D975" s="2" t="s">
        <v>124</v>
      </c>
      <c r="E975" s="2" t="s">
        <v>82</v>
      </c>
      <c r="F975" s="2" t="s">
        <v>60</v>
      </c>
      <c r="G975" s="2">
        <v>3</v>
      </c>
      <c r="H975" s="6">
        <v>4.99</v>
      </c>
      <c r="I975" s="4">
        <f t="shared" si="15"/>
        <v>14.97</v>
      </c>
      <c r="J975" s="2" t="s">
        <v>33</v>
      </c>
      <c r="K975" s="2" t="s">
        <v>55</v>
      </c>
      <c r="L975" s="2" t="s">
        <v>35</v>
      </c>
      <c r="M975" s="11" t="s">
        <v>697</v>
      </c>
    </row>
    <row r="976" spans="1:13" x14ac:dyDescent="0.25">
      <c r="A976" s="10">
        <v>1974</v>
      </c>
      <c r="B976" s="3">
        <v>45338</v>
      </c>
      <c r="C976" s="2" t="s">
        <v>697</v>
      </c>
      <c r="D976" s="2" t="s">
        <v>84</v>
      </c>
      <c r="E976" s="2" t="s">
        <v>92</v>
      </c>
      <c r="F976" s="2" t="s">
        <v>26</v>
      </c>
      <c r="G976" s="4" t="s">
        <v>697</v>
      </c>
      <c r="H976" s="6">
        <v>14.99</v>
      </c>
      <c r="I976" s="4" t="str">
        <f t="shared" si="15"/>
        <v>N/A</v>
      </c>
      <c r="J976" s="2" t="s">
        <v>27</v>
      </c>
      <c r="K976" s="2" t="s">
        <v>28</v>
      </c>
      <c r="L976" s="2" t="s">
        <v>29</v>
      </c>
      <c r="M976" s="11" t="s">
        <v>697</v>
      </c>
    </row>
    <row r="977" spans="1:13" x14ac:dyDescent="0.25">
      <c r="A977" s="10">
        <v>1975</v>
      </c>
      <c r="B977" s="3">
        <v>45340</v>
      </c>
      <c r="C977" s="2" t="s">
        <v>42</v>
      </c>
      <c r="D977" s="2" t="s">
        <v>48</v>
      </c>
      <c r="E977" s="2" t="s">
        <v>72</v>
      </c>
      <c r="F977" s="2" t="s">
        <v>73</v>
      </c>
      <c r="G977" s="2">
        <v>3</v>
      </c>
      <c r="H977" s="6">
        <v>49.99</v>
      </c>
      <c r="I977" s="4">
        <f t="shared" si="15"/>
        <v>149.97</v>
      </c>
      <c r="J977" s="2" t="s">
        <v>19</v>
      </c>
      <c r="K977" s="2" t="s">
        <v>28</v>
      </c>
      <c r="L977" s="2" t="s">
        <v>35</v>
      </c>
      <c r="M977" s="12" t="s">
        <v>63</v>
      </c>
    </row>
    <row r="978" spans="1:13" x14ac:dyDescent="0.25">
      <c r="A978" s="10">
        <v>1976</v>
      </c>
      <c r="B978" s="3">
        <v>45212</v>
      </c>
      <c r="C978" s="2" t="s">
        <v>37</v>
      </c>
      <c r="D978" s="2" t="s">
        <v>162</v>
      </c>
      <c r="E978" s="2" t="s">
        <v>85</v>
      </c>
      <c r="F978" s="2" t="s">
        <v>26</v>
      </c>
      <c r="G978" s="4" t="s">
        <v>697</v>
      </c>
      <c r="H978" s="6">
        <v>99.99</v>
      </c>
      <c r="I978" s="4" t="str">
        <f t="shared" si="15"/>
        <v>N/A</v>
      </c>
      <c r="J978" s="2" t="s">
        <v>19</v>
      </c>
      <c r="K978" s="2" t="s">
        <v>55</v>
      </c>
      <c r="L978" s="2" t="s">
        <v>35</v>
      </c>
      <c r="M978" s="11" t="s">
        <v>697</v>
      </c>
    </row>
    <row r="979" spans="1:13" x14ac:dyDescent="0.25">
      <c r="A979" s="10">
        <v>1977</v>
      </c>
      <c r="B979" s="3">
        <v>45236</v>
      </c>
      <c r="C979" s="2" t="s">
        <v>23</v>
      </c>
      <c r="D979" s="2" t="s">
        <v>24</v>
      </c>
      <c r="E979" s="2" t="s">
        <v>92</v>
      </c>
      <c r="F979" s="2" t="s">
        <v>26</v>
      </c>
      <c r="G979" s="2">
        <v>2</v>
      </c>
      <c r="H979" s="6">
        <v>14.99</v>
      </c>
      <c r="I979" s="4">
        <f t="shared" si="15"/>
        <v>29.98</v>
      </c>
      <c r="J979" s="2" t="s">
        <v>33</v>
      </c>
      <c r="K979" s="2" t="s">
        <v>34</v>
      </c>
      <c r="L979" s="2" t="s">
        <v>29</v>
      </c>
      <c r="M979" s="11" t="s">
        <v>697</v>
      </c>
    </row>
    <row r="980" spans="1:13" x14ac:dyDescent="0.25">
      <c r="A980" s="10">
        <v>1978</v>
      </c>
      <c r="B980" s="3">
        <v>45145</v>
      </c>
      <c r="C980" s="2" t="s">
        <v>77</v>
      </c>
      <c r="D980" s="2" t="s">
        <v>78</v>
      </c>
      <c r="E980" s="2" t="s">
        <v>85</v>
      </c>
      <c r="F980" s="2" t="s">
        <v>26</v>
      </c>
      <c r="G980" s="2">
        <v>2</v>
      </c>
      <c r="H980" s="6">
        <v>99.99</v>
      </c>
      <c r="I980" s="4">
        <f t="shared" si="15"/>
        <v>199.98</v>
      </c>
      <c r="J980" s="2" t="s">
        <v>33</v>
      </c>
      <c r="K980" s="2" t="s">
        <v>129</v>
      </c>
      <c r="L980" s="2" t="s">
        <v>35</v>
      </c>
      <c r="M980" s="12" t="s">
        <v>63</v>
      </c>
    </row>
    <row r="981" spans="1:13" x14ac:dyDescent="0.25">
      <c r="A981" s="10">
        <v>1979</v>
      </c>
      <c r="B981" s="3">
        <v>45001</v>
      </c>
      <c r="C981" s="2" t="s">
        <v>23</v>
      </c>
      <c r="D981" s="2" t="s">
        <v>24</v>
      </c>
      <c r="E981" s="2" t="s">
        <v>85</v>
      </c>
      <c r="F981" s="2" t="s">
        <v>26</v>
      </c>
      <c r="G981" s="2">
        <v>3</v>
      </c>
      <c r="H981" s="6">
        <v>99.99</v>
      </c>
      <c r="I981" s="4">
        <f t="shared" si="15"/>
        <v>299.96999999999997</v>
      </c>
      <c r="J981" s="2" t="s">
        <v>19</v>
      </c>
      <c r="K981" s="2" t="s">
        <v>28</v>
      </c>
      <c r="L981" s="2" t="s">
        <v>29</v>
      </c>
      <c r="M981" s="11" t="s">
        <v>697</v>
      </c>
    </row>
    <row r="982" spans="1:13" x14ac:dyDescent="0.25">
      <c r="A982" s="10">
        <v>1980</v>
      </c>
      <c r="B982" s="3">
        <v>45298</v>
      </c>
      <c r="C982" s="2" t="s">
        <v>42</v>
      </c>
      <c r="D982" s="2" t="s">
        <v>48</v>
      </c>
      <c r="E982" s="2" t="s">
        <v>82</v>
      </c>
      <c r="F982" s="2" t="s">
        <v>60</v>
      </c>
      <c r="G982" s="4" t="s">
        <v>697</v>
      </c>
      <c r="H982" s="6">
        <v>4.99</v>
      </c>
      <c r="I982" s="4" t="str">
        <f t="shared" si="15"/>
        <v>N/A</v>
      </c>
      <c r="J982" s="2" t="s">
        <v>54</v>
      </c>
      <c r="K982" s="2" t="s">
        <v>28</v>
      </c>
      <c r="L982" s="2" t="s">
        <v>35</v>
      </c>
      <c r="M982" s="11" t="s">
        <v>697</v>
      </c>
    </row>
    <row r="983" spans="1:13" x14ac:dyDescent="0.25">
      <c r="A983" s="10">
        <v>1981</v>
      </c>
      <c r="B983" s="3">
        <v>45224</v>
      </c>
      <c r="C983" s="2" t="s">
        <v>77</v>
      </c>
      <c r="D983" s="2" t="s">
        <v>91</v>
      </c>
      <c r="E983" s="2" t="s">
        <v>85</v>
      </c>
      <c r="F983" s="2" t="s">
        <v>26</v>
      </c>
      <c r="G983" s="2">
        <v>1</v>
      </c>
      <c r="H983" s="6">
        <v>99.99</v>
      </c>
      <c r="I983" s="4">
        <f t="shared" si="15"/>
        <v>99.99</v>
      </c>
      <c r="J983" s="2" t="s">
        <v>33</v>
      </c>
      <c r="K983" s="2" t="s">
        <v>45</v>
      </c>
      <c r="L983" s="2" t="s">
        <v>40</v>
      </c>
      <c r="M983" s="12" t="s">
        <v>63</v>
      </c>
    </row>
    <row r="984" spans="1:13" x14ac:dyDescent="0.25">
      <c r="A984" s="10">
        <v>1982</v>
      </c>
      <c r="B984" s="3">
        <v>45140</v>
      </c>
      <c r="C984" s="2" t="s">
        <v>77</v>
      </c>
      <c r="D984" s="2" t="s">
        <v>78</v>
      </c>
      <c r="E984" s="2" t="s">
        <v>92</v>
      </c>
      <c r="F984" s="2" t="s">
        <v>26</v>
      </c>
      <c r="G984" s="4" t="s">
        <v>697</v>
      </c>
      <c r="H984" s="6">
        <v>14.99</v>
      </c>
      <c r="I984" s="4" t="str">
        <f t="shared" si="15"/>
        <v>N/A</v>
      </c>
      <c r="J984" s="2" t="s">
        <v>19</v>
      </c>
      <c r="K984" s="2" t="s">
        <v>34</v>
      </c>
      <c r="L984" s="2" t="s">
        <v>35</v>
      </c>
      <c r="M984" s="11" t="s">
        <v>697</v>
      </c>
    </row>
    <row r="985" spans="1:13" x14ac:dyDescent="0.25">
      <c r="A985" s="10">
        <v>1983</v>
      </c>
      <c r="B985" s="3">
        <v>45234</v>
      </c>
      <c r="C985" s="2" t="s">
        <v>70</v>
      </c>
      <c r="D985" s="2" t="s">
        <v>131</v>
      </c>
      <c r="E985" s="2" t="s">
        <v>127</v>
      </c>
      <c r="F985" s="2" t="s">
        <v>73</v>
      </c>
      <c r="G985" s="2">
        <v>4</v>
      </c>
      <c r="H985" s="6">
        <v>29.99</v>
      </c>
      <c r="I985" s="4">
        <f t="shared" si="15"/>
        <v>119.96</v>
      </c>
      <c r="J985" s="2" t="s">
        <v>33</v>
      </c>
      <c r="K985" s="2" t="s">
        <v>28</v>
      </c>
      <c r="L985" s="2" t="s">
        <v>35</v>
      </c>
      <c r="M985" s="11" t="s">
        <v>697</v>
      </c>
    </row>
    <row r="986" spans="1:13" x14ac:dyDescent="0.25">
      <c r="A986" s="10">
        <v>1984</v>
      </c>
      <c r="B986" s="3">
        <v>45261</v>
      </c>
      <c r="C986" s="2" t="s">
        <v>70</v>
      </c>
      <c r="D986" s="2" t="s">
        <v>88</v>
      </c>
      <c r="E986" s="2" t="s">
        <v>39</v>
      </c>
      <c r="F986" s="2" t="s">
        <v>17</v>
      </c>
      <c r="G986" s="2">
        <v>4</v>
      </c>
      <c r="H986" s="6">
        <v>39.99</v>
      </c>
      <c r="I986" s="4">
        <f t="shared" si="15"/>
        <v>159.96</v>
      </c>
      <c r="J986" s="2" t="s">
        <v>33</v>
      </c>
      <c r="K986" s="2" t="s">
        <v>28</v>
      </c>
      <c r="L986" s="2" t="s">
        <v>35</v>
      </c>
      <c r="M986" s="11" t="s">
        <v>697</v>
      </c>
    </row>
    <row r="987" spans="1:13" x14ac:dyDescent="0.25">
      <c r="A987" s="10">
        <v>1985</v>
      </c>
      <c r="B987" s="5" t="s">
        <v>697</v>
      </c>
      <c r="C987" s="2" t="s">
        <v>23</v>
      </c>
      <c r="D987" s="2" t="s">
        <v>81</v>
      </c>
      <c r="E987" s="2" t="s">
        <v>52</v>
      </c>
      <c r="F987" s="2" t="s">
        <v>53</v>
      </c>
      <c r="G987" s="2">
        <v>4</v>
      </c>
      <c r="H987" s="6">
        <v>59.99</v>
      </c>
      <c r="I987" s="4">
        <f t="shared" si="15"/>
        <v>239.96</v>
      </c>
      <c r="J987" s="2" t="s">
        <v>54</v>
      </c>
      <c r="K987" s="2" t="s">
        <v>34</v>
      </c>
      <c r="L987" s="2" t="s">
        <v>40</v>
      </c>
      <c r="M987" s="11" t="s">
        <v>697</v>
      </c>
    </row>
    <row r="988" spans="1:13" x14ac:dyDescent="0.25">
      <c r="A988" s="10">
        <v>1986</v>
      </c>
      <c r="B988" s="3">
        <v>45110</v>
      </c>
      <c r="C988" s="2" t="s">
        <v>77</v>
      </c>
      <c r="D988" s="2" t="s">
        <v>78</v>
      </c>
      <c r="E988" s="2" t="s">
        <v>39</v>
      </c>
      <c r="F988" s="2" t="s">
        <v>17</v>
      </c>
      <c r="G988" s="2">
        <v>5</v>
      </c>
      <c r="H988" s="6">
        <v>39.99</v>
      </c>
      <c r="I988" s="4">
        <f t="shared" si="15"/>
        <v>199.95000000000002</v>
      </c>
      <c r="J988" s="2" t="s">
        <v>27</v>
      </c>
      <c r="K988" s="2" t="s">
        <v>28</v>
      </c>
      <c r="L988" s="2" t="s">
        <v>35</v>
      </c>
      <c r="M988" s="11" t="s">
        <v>697</v>
      </c>
    </row>
    <row r="989" spans="1:13" x14ac:dyDescent="0.25">
      <c r="A989" s="10">
        <v>1987</v>
      </c>
      <c r="B989" s="3">
        <v>44953</v>
      </c>
      <c r="C989" s="2" t="s">
        <v>70</v>
      </c>
      <c r="D989" s="2" t="s">
        <v>131</v>
      </c>
      <c r="E989" s="2" t="s">
        <v>85</v>
      </c>
      <c r="F989" s="2" t="s">
        <v>26</v>
      </c>
      <c r="G989" s="4" t="s">
        <v>697</v>
      </c>
      <c r="H989" s="6">
        <v>99.99</v>
      </c>
      <c r="I989" s="4" t="str">
        <f t="shared" si="15"/>
        <v>N/A</v>
      </c>
      <c r="J989" s="2" t="s">
        <v>54</v>
      </c>
      <c r="K989" s="2" t="s">
        <v>45</v>
      </c>
      <c r="L989" s="2" t="s">
        <v>35</v>
      </c>
      <c r="M989" s="11" t="s">
        <v>697</v>
      </c>
    </row>
    <row r="990" spans="1:13" x14ac:dyDescent="0.25">
      <c r="A990" s="10">
        <v>1988</v>
      </c>
      <c r="B990" s="3">
        <v>45032</v>
      </c>
      <c r="C990" s="2" t="s">
        <v>65</v>
      </c>
      <c r="D990" s="2" t="s">
        <v>66</v>
      </c>
      <c r="E990" s="2" t="s">
        <v>39</v>
      </c>
      <c r="F990" s="2" t="s">
        <v>17</v>
      </c>
      <c r="G990" s="4" t="s">
        <v>697</v>
      </c>
      <c r="H990" s="6">
        <v>39.99</v>
      </c>
      <c r="I990" s="4" t="str">
        <f t="shared" si="15"/>
        <v>N/A</v>
      </c>
      <c r="J990" s="2" t="s">
        <v>19</v>
      </c>
      <c r="K990" s="2" t="s">
        <v>28</v>
      </c>
      <c r="L990" s="2" t="s">
        <v>35</v>
      </c>
      <c r="M990" s="11" t="s">
        <v>697</v>
      </c>
    </row>
    <row r="991" spans="1:13" x14ac:dyDescent="0.25">
      <c r="A991" s="10">
        <v>1989</v>
      </c>
      <c r="B991" s="5" t="s">
        <v>697</v>
      </c>
      <c r="C991" s="2" t="s">
        <v>42</v>
      </c>
      <c r="D991" s="2" t="s">
        <v>116</v>
      </c>
      <c r="E991" s="2" t="s">
        <v>92</v>
      </c>
      <c r="F991" s="2" t="s">
        <v>26</v>
      </c>
      <c r="G991" s="2">
        <v>1</v>
      </c>
      <c r="H991" s="6">
        <v>14.99</v>
      </c>
      <c r="I991" s="4">
        <f t="shared" si="15"/>
        <v>14.99</v>
      </c>
      <c r="J991" s="2" t="s">
        <v>33</v>
      </c>
      <c r="K991" s="2" t="s">
        <v>28</v>
      </c>
      <c r="L991" s="2" t="s">
        <v>35</v>
      </c>
      <c r="M991" s="12" t="s">
        <v>63</v>
      </c>
    </row>
    <row r="992" spans="1:13" x14ac:dyDescent="0.25">
      <c r="A992" s="10">
        <v>1990</v>
      </c>
      <c r="B992" s="3">
        <v>45021</v>
      </c>
      <c r="C992" s="2" t="s">
        <v>14</v>
      </c>
      <c r="D992" s="2" t="s">
        <v>15</v>
      </c>
      <c r="E992" s="2" t="s">
        <v>52</v>
      </c>
      <c r="F992" s="2" t="s">
        <v>53</v>
      </c>
      <c r="G992" s="2">
        <v>1</v>
      </c>
      <c r="H992" s="6">
        <v>59.99</v>
      </c>
      <c r="I992" s="4">
        <f t="shared" si="15"/>
        <v>59.99</v>
      </c>
      <c r="J992" s="2" t="s">
        <v>33</v>
      </c>
      <c r="K992" s="2" t="s">
        <v>129</v>
      </c>
      <c r="L992" s="2" t="s">
        <v>40</v>
      </c>
      <c r="M992" s="11" t="s">
        <v>697</v>
      </c>
    </row>
    <row r="993" spans="1:13" x14ac:dyDescent="0.25">
      <c r="A993" s="10">
        <v>1991</v>
      </c>
      <c r="B993" s="3">
        <v>45051</v>
      </c>
      <c r="C993" s="2" t="s">
        <v>14</v>
      </c>
      <c r="D993" s="2" t="s">
        <v>75</v>
      </c>
      <c r="E993" s="2" t="s">
        <v>92</v>
      </c>
      <c r="F993" s="2" t="s">
        <v>26</v>
      </c>
      <c r="G993" s="4" t="s">
        <v>697</v>
      </c>
      <c r="H993" s="6">
        <v>14.99</v>
      </c>
      <c r="I993" s="4" t="str">
        <f t="shared" si="15"/>
        <v>N/A</v>
      </c>
      <c r="J993" s="2" t="s">
        <v>33</v>
      </c>
      <c r="K993" s="2" t="s">
        <v>45</v>
      </c>
      <c r="L993" s="2" t="s">
        <v>40</v>
      </c>
      <c r="M993" s="11" t="s">
        <v>697</v>
      </c>
    </row>
    <row r="994" spans="1:13" x14ac:dyDescent="0.25">
      <c r="A994" s="10">
        <v>1992</v>
      </c>
      <c r="B994" s="3">
        <v>45291</v>
      </c>
      <c r="C994" s="2" t="s">
        <v>37</v>
      </c>
      <c r="D994" s="2" t="s">
        <v>38</v>
      </c>
      <c r="E994" s="2" t="s">
        <v>39</v>
      </c>
      <c r="F994" s="2" t="s">
        <v>17</v>
      </c>
      <c r="G994" s="2">
        <v>1</v>
      </c>
      <c r="H994" s="6">
        <v>39.99</v>
      </c>
      <c r="I994" s="4">
        <f t="shared" si="15"/>
        <v>39.99</v>
      </c>
      <c r="J994" s="2" t="s">
        <v>33</v>
      </c>
      <c r="K994" s="2" t="s">
        <v>45</v>
      </c>
      <c r="L994" s="2" t="s">
        <v>35</v>
      </c>
      <c r="M994" s="11" t="s">
        <v>697</v>
      </c>
    </row>
    <row r="995" spans="1:13" x14ac:dyDescent="0.25">
      <c r="A995" s="10">
        <v>1993</v>
      </c>
      <c r="B995" s="3">
        <v>45325</v>
      </c>
      <c r="C995" s="2" t="s">
        <v>14</v>
      </c>
      <c r="D995" s="2" t="s">
        <v>84</v>
      </c>
      <c r="E995" s="2" t="s">
        <v>39</v>
      </c>
      <c r="F995" s="2" t="s">
        <v>17</v>
      </c>
      <c r="G995" s="2">
        <v>1</v>
      </c>
      <c r="H995" s="6">
        <v>39.99</v>
      </c>
      <c r="I995" s="4">
        <f t="shared" si="15"/>
        <v>39.99</v>
      </c>
      <c r="J995" s="2" t="s">
        <v>54</v>
      </c>
      <c r="K995" s="2" t="s">
        <v>55</v>
      </c>
      <c r="L995" s="2" t="s">
        <v>35</v>
      </c>
      <c r="M995" s="12" t="s">
        <v>63</v>
      </c>
    </row>
    <row r="996" spans="1:13" x14ac:dyDescent="0.25">
      <c r="A996" s="10">
        <v>1994</v>
      </c>
      <c r="B996" s="3">
        <v>45095</v>
      </c>
      <c r="C996" s="2" t="s">
        <v>70</v>
      </c>
      <c r="D996" s="2" t="s">
        <v>88</v>
      </c>
      <c r="E996" s="2" t="s">
        <v>82</v>
      </c>
      <c r="F996" s="2" t="s">
        <v>60</v>
      </c>
      <c r="G996" s="2">
        <v>5</v>
      </c>
      <c r="H996" s="6">
        <v>4.99</v>
      </c>
      <c r="I996" s="4">
        <f t="shared" si="15"/>
        <v>24.950000000000003</v>
      </c>
      <c r="J996" s="2" t="s">
        <v>19</v>
      </c>
      <c r="K996" s="2" t="s">
        <v>45</v>
      </c>
      <c r="L996" s="2" t="s">
        <v>40</v>
      </c>
      <c r="M996" s="11" t="s">
        <v>697</v>
      </c>
    </row>
    <row r="997" spans="1:13" x14ac:dyDescent="0.25">
      <c r="A997" s="10">
        <v>1995</v>
      </c>
      <c r="B997" s="5" t="s">
        <v>697</v>
      </c>
      <c r="C997" s="2" t="s">
        <v>23</v>
      </c>
      <c r="D997" s="2" t="s">
        <v>124</v>
      </c>
      <c r="E997" s="2" t="s">
        <v>52</v>
      </c>
      <c r="F997" s="2" t="s">
        <v>53</v>
      </c>
      <c r="G997" s="4" t="s">
        <v>697</v>
      </c>
      <c r="H997" s="6">
        <v>59.99</v>
      </c>
      <c r="I997" s="4" t="str">
        <f t="shared" si="15"/>
        <v>N/A</v>
      </c>
      <c r="J997" s="2" t="s">
        <v>33</v>
      </c>
      <c r="K997" s="2" t="s">
        <v>129</v>
      </c>
      <c r="L997" s="2" t="s">
        <v>35</v>
      </c>
      <c r="M997" s="11" t="s">
        <v>697</v>
      </c>
    </row>
    <row r="998" spans="1:13" x14ac:dyDescent="0.25">
      <c r="A998" s="10">
        <v>1996</v>
      </c>
      <c r="B998" s="3">
        <v>45017</v>
      </c>
      <c r="C998" s="2" t="s">
        <v>14</v>
      </c>
      <c r="D998" s="2" t="s">
        <v>15</v>
      </c>
      <c r="E998" s="2" t="s">
        <v>31</v>
      </c>
      <c r="F998" s="2" t="s">
        <v>32</v>
      </c>
      <c r="G998" s="2">
        <v>2</v>
      </c>
      <c r="H998" s="6">
        <v>79.989999999999995</v>
      </c>
      <c r="I998" s="4">
        <f t="shared" si="15"/>
        <v>159.97999999999999</v>
      </c>
      <c r="J998" s="2" t="s">
        <v>33</v>
      </c>
      <c r="K998" s="2" t="s">
        <v>28</v>
      </c>
      <c r="L998" s="2" t="s">
        <v>29</v>
      </c>
      <c r="M998" s="11" t="s">
        <v>697</v>
      </c>
    </row>
    <row r="999" spans="1:13" x14ac:dyDescent="0.25">
      <c r="A999" s="10">
        <v>1997</v>
      </c>
      <c r="B999" s="3">
        <v>45149</v>
      </c>
      <c r="C999" s="2" t="s">
        <v>70</v>
      </c>
      <c r="D999" s="2" t="s">
        <v>131</v>
      </c>
      <c r="E999" s="2" t="s">
        <v>92</v>
      </c>
      <c r="F999" s="2" t="s">
        <v>26</v>
      </c>
      <c r="G999" s="2">
        <v>5</v>
      </c>
      <c r="H999" s="6">
        <v>14.99</v>
      </c>
      <c r="I999" s="4">
        <f t="shared" si="15"/>
        <v>74.95</v>
      </c>
      <c r="J999" s="2" t="s">
        <v>33</v>
      </c>
      <c r="K999" s="2" t="s">
        <v>34</v>
      </c>
      <c r="L999" s="2" t="s">
        <v>29</v>
      </c>
      <c r="M999" s="11" t="s">
        <v>697</v>
      </c>
    </row>
    <row r="1000" spans="1:13" x14ac:dyDescent="0.25">
      <c r="A1000" s="10">
        <v>1998</v>
      </c>
      <c r="B1000" s="3">
        <v>45122</v>
      </c>
      <c r="C1000" s="2" t="s">
        <v>23</v>
      </c>
      <c r="D1000" s="2" t="s">
        <v>81</v>
      </c>
      <c r="E1000" s="2" t="s">
        <v>92</v>
      </c>
      <c r="F1000" s="2" t="s">
        <v>26</v>
      </c>
      <c r="G1000" s="2">
        <v>5</v>
      </c>
      <c r="H1000" s="6">
        <v>14.99</v>
      </c>
      <c r="I1000" s="4">
        <f t="shared" si="15"/>
        <v>74.95</v>
      </c>
      <c r="J1000" s="2" t="s">
        <v>33</v>
      </c>
      <c r="K1000" s="2" t="s">
        <v>45</v>
      </c>
      <c r="L1000" s="2" t="s">
        <v>35</v>
      </c>
      <c r="M1000" s="11" t="s">
        <v>697</v>
      </c>
    </row>
    <row r="1001" spans="1:13" x14ac:dyDescent="0.25">
      <c r="A1001" s="10">
        <v>1999</v>
      </c>
      <c r="B1001" s="3">
        <v>45341</v>
      </c>
      <c r="C1001" s="2" t="s">
        <v>23</v>
      </c>
      <c r="D1001" s="2" t="s">
        <v>124</v>
      </c>
      <c r="E1001" s="2" t="s">
        <v>52</v>
      </c>
      <c r="F1001" s="2" t="s">
        <v>53</v>
      </c>
      <c r="G1001" s="2">
        <v>3</v>
      </c>
      <c r="H1001" s="6">
        <v>59.99</v>
      </c>
      <c r="I1001" s="4">
        <f t="shared" si="15"/>
        <v>179.97</v>
      </c>
      <c r="J1001" s="2" t="s">
        <v>27</v>
      </c>
      <c r="K1001" s="2" t="s">
        <v>129</v>
      </c>
      <c r="L1001" s="2" t="s">
        <v>40</v>
      </c>
      <c r="M1001" s="11" t="s">
        <v>697</v>
      </c>
    </row>
    <row r="1002" spans="1:13" x14ac:dyDescent="0.25">
      <c r="A1002" s="10">
        <v>2000</v>
      </c>
      <c r="B1002" s="5" t="s">
        <v>697</v>
      </c>
      <c r="C1002" s="2" t="s">
        <v>42</v>
      </c>
      <c r="D1002" s="2" t="s">
        <v>43</v>
      </c>
      <c r="E1002" s="2" t="s">
        <v>44</v>
      </c>
      <c r="F1002" s="2" t="s">
        <v>17</v>
      </c>
      <c r="G1002" s="2">
        <v>5</v>
      </c>
      <c r="H1002" s="6">
        <v>15.99</v>
      </c>
      <c r="I1002" s="4">
        <f t="shared" si="15"/>
        <v>79.95</v>
      </c>
      <c r="J1002" s="2" t="s">
        <v>54</v>
      </c>
      <c r="K1002" s="2" t="s">
        <v>55</v>
      </c>
      <c r="L1002" s="2" t="s">
        <v>40</v>
      </c>
      <c r="M1002" s="11" t="s">
        <v>697</v>
      </c>
    </row>
    <row r="1003" spans="1:13" x14ac:dyDescent="0.25">
      <c r="A1003" s="10">
        <v>2001</v>
      </c>
      <c r="B1003" s="5" t="s">
        <v>697</v>
      </c>
      <c r="C1003" s="2" t="s">
        <v>77</v>
      </c>
      <c r="D1003" s="4" t="s">
        <v>697</v>
      </c>
      <c r="E1003" s="2" t="s">
        <v>127</v>
      </c>
      <c r="F1003" s="2" t="s">
        <v>73</v>
      </c>
      <c r="G1003" s="4" t="s">
        <v>697</v>
      </c>
      <c r="H1003" s="6">
        <v>29.99</v>
      </c>
      <c r="I1003" s="4" t="str">
        <f t="shared" si="15"/>
        <v>N/A</v>
      </c>
      <c r="J1003" s="2" t="s">
        <v>33</v>
      </c>
      <c r="K1003" s="2" t="s">
        <v>45</v>
      </c>
      <c r="L1003" s="2" t="s">
        <v>35</v>
      </c>
      <c r="M1003" s="11" t="s">
        <v>697</v>
      </c>
    </row>
    <row r="1004" spans="1:13" x14ac:dyDescent="0.25">
      <c r="A1004" s="10">
        <v>2002</v>
      </c>
      <c r="B1004" s="3">
        <v>44929</v>
      </c>
      <c r="C1004" s="2" t="s">
        <v>37</v>
      </c>
      <c r="D1004" s="2" t="s">
        <v>38</v>
      </c>
      <c r="E1004" s="2" t="s">
        <v>85</v>
      </c>
      <c r="F1004" s="2" t="s">
        <v>26</v>
      </c>
      <c r="G1004" s="4" t="s">
        <v>697</v>
      </c>
      <c r="H1004" s="6">
        <v>99.99</v>
      </c>
      <c r="I1004" s="4" t="str">
        <f t="shared" si="15"/>
        <v>N/A</v>
      </c>
      <c r="J1004" s="2" t="s">
        <v>19</v>
      </c>
      <c r="K1004" s="2" t="s">
        <v>34</v>
      </c>
      <c r="L1004" s="2" t="s">
        <v>35</v>
      </c>
      <c r="M1004" s="11" t="s">
        <v>697</v>
      </c>
    </row>
    <row r="1005" spans="1:13" x14ac:dyDescent="0.25">
      <c r="A1005" s="10">
        <v>2003</v>
      </c>
      <c r="B1005" s="3">
        <v>44931</v>
      </c>
      <c r="C1005" s="2" t="s">
        <v>697</v>
      </c>
      <c r="D1005" s="2" t="s">
        <v>48</v>
      </c>
      <c r="E1005" s="2" t="s">
        <v>72</v>
      </c>
      <c r="F1005" s="2" t="s">
        <v>73</v>
      </c>
      <c r="G1005" s="4" t="s">
        <v>697</v>
      </c>
      <c r="H1005" s="6">
        <v>49.99</v>
      </c>
      <c r="I1005" s="4" t="str">
        <f t="shared" si="15"/>
        <v>N/A</v>
      </c>
      <c r="J1005" s="2" t="s">
        <v>27</v>
      </c>
      <c r="K1005" s="2" t="s">
        <v>28</v>
      </c>
      <c r="L1005" s="2" t="s">
        <v>29</v>
      </c>
      <c r="M1005" s="11" t="s">
        <v>697</v>
      </c>
    </row>
    <row r="1006" spans="1:13" x14ac:dyDescent="0.25">
      <c r="A1006" s="10">
        <v>2004</v>
      </c>
      <c r="B1006" s="3">
        <v>45009</v>
      </c>
      <c r="C1006" s="2" t="s">
        <v>14</v>
      </c>
      <c r="D1006" s="2" t="s">
        <v>15</v>
      </c>
      <c r="E1006" s="2" t="s">
        <v>82</v>
      </c>
      <c r="F1006" s="2" t="s">
        <v>60</v>
      </c>
      <c r="G1006" s="2">
        <v>2</v>
      </c>
      <c r="H1006" s="6">
        <v>4.99</v>
      </c>
      <c r="I1006" s="4">
        <f t="shared" si="15"/>
        <v>9.98</v>
      </c>
      <c r="J1006" s="2" t="s">
        <v>27</v>
      </c>
      <c r="K1006" s="2" t="s">
        <v>55</v>
      </c>
      <c r="L1006" s="2" t="s">
        <v>35</v>
      </c>
      <c r="M1006" s="11" t="s">
        <v>697</v>
      </c>
    </row>
    <row r="1007" spans="1:13" x14ac:dyDescent="0.25">
      <c r="A1007" s="10">
        <v>2005</v>
      </c>
      <c r="B1007" s="3">
        <v>45022</v>
      </c>
      <c r="C1007" s="2" t="s">
        <v>697</v>
      </c>
      <c r="D1007" s="2" t="s">
        <v>84</v>
      </c>
      <c r="E1007" s="2" t="s">
        <v>82</v>
      </c>
      <c r="F1007" s="2" t="s">
        <v>60</v>
      </c>
      <c r="G1007" s="4" t="s">
        <v>697</v>
      </c>
      <c r="H1007" s="6">
        <v>4.99</v>
      </c>
      <c r="I1007" s="4" t="str">
        <f t="shared" si="15"/>
        <v>N/A</v>
      </c>
      <c r="J1007" s="2" t="s">
        <v>54</v>
      </c>
      <c r="K1007" s="2" t="s">
        <v>28</v>
      </c>
      <c r="L1007" s="2" t="s">
        <v>35</v>
      </c>
      <c r="M1007" s="11" t="s">
        <v>697</v>
      </c>
    </row>
    <row r="1008" spans="1:13" x14ac:dyDescent="0.25">
      <c r="A1008" s="10">
        <v>2006</v>
      </c>
      <c r="B1008" s="5" t="s">
        <v>697</v>
      </c>
      <c r="C1008" s="2" t="s">
        <v>70</v>
      </c>
      <c r="D1008" s="2" t="s">
        <v>131</v>
      </c>
      <c r="E1008" s="2" t="s">
        <v>52</v>
      </c>
      <c r="F1008" s="2" t="s">
        <v>53</v>
      </c>
      <c r="G1008" s="2">
        <v>4</v>
      </c>
      <c r="H1008" s="6">
        <v>59.99</v>
      </c>
      <c r="I1008" s="4">
        <f t="shared" si="15"/>
        <v>239.96</v>
      </c>
      <c r="J1008" s="2" t="s">
        <v>54</v>
      </c>
      <c r="K1008" s="2" t="s">
        <v>28</v>
      </c>
      <c r="L1008" s="2" t="s">
        <v>35</v>
      </c>
      <c r="M1008" s="11" t="s">
        <v>697</v>
      </c>
    </row>
    <row r="1009" spans="1:13" x14ac:dyDescent="0.25">
      <c r="A1009" s="10">
        <v>2007</v>
      </c>
      <c r="B1009" s="5" t="s">
        <v>697</v>
      </c>
      <c r="C1009" s="2" t="s">
        <v>37</v>
      </c>
      <c r="D1009" s="2" t="s">
        <v>38</v>
      </c>
      <c r="E1009" s="2" t="s">
        <v>44</v>
      </c>
      <c r="F1009" s="2" t="s">
        <v>17</v>
      </c>
      <c r="G1009" s="2">
        <v>5</v>
      </c>
      <c r="H1009" s="6">
        <v>15.99</v>
      </c>
      <c r="I1009" s="4">
        <f t="shared" si="15"/>
        <v>79.95</v>
      </c>
      <c r="J1009" s="2" t="s">
        <v>33</v>
      </c>
      <c r="K1009" s="2" t="s">
        <v>129</v>
      </c>
      <c r="L1009" s="2" t="s">
        <v>35</v>
      </c>
      <c r="M1009" s="11" t="s">
        <v>697</v>
      </c>
    </row>
    <row r="1010" spans="1:13" x14ac:dyDescent="0.25">
      <c r="A1010" s="10">
        <v>2008</v>
      </c>
      <c r="B1010" s="3">
        <v>45341</v>
      </c>
      <c r="C1010" s="2" t="s">
        <v>42</v>
      </c>
      <c r="D1010" s="2" t="s">
        <v>48</v>
      </c>
      <c r="E1010" s="2" t="s">
        <v>52</v>
      </c>
      <c r="F1010" s="2" t="s">
        <v>53</v>
      </c>
      <c r="G1010" s="2">
        <v>2</v>
      </c>
      <c r="H1010" s="6">
        <v>59.99</v>
      </c>
      <c r="I1010" s="4">
        <f t="shared" si="15"/>
        <v>119.98</v>
      </c>
      <c r="J1010" s="2" t="s">
        <v>33</v>
      </c>
      <c r="K1010" s="2" t="s">
        <v>34</v>
      </c>
      <c r="L1010" s="2" t="s">
        <v>29</v>
      </c>
      <c r="M1010" s="11" t="s">
        <v>697</v>
      </c>
    </row>
    <row r="1011" spans="1:13" x14ac:dyDescent="0.25">
      <c r="A1011" s="10">
        <v>2009</v>
      </c>
      <c r="B1011" s="3">
        <v>45320</v>
      </c>
      <c r="C1011" s="2" t="s">
        <v>23</v>
      </c>
      <c r="D1011" s="2" t="s">
        <v>24</v>
      </c>
      <c r="E1011" s="2" t="s">
        <v>39</v>
      </c>
      <c r="F1011" s="2" t="s">
        <v>17</v>
      </c>
      <c r="G1011" s="4" t="s">
        <v>697</v>
      </c>
      <c r="H1011" s="6">
        <v>39.99</v>
      </c>
      <c r="I1011" s="4" t="str">
        <f t="shared" si="15"/>
        <v>N/A</v>
      </c>
      <c r="J1011" s="2" t="s">
        <v>54</v>
      </c>
      <c r="K1011" s="2" t="s">
        <v>28</v>
      </c>
      <c r="L1011" s="2" t="s">
        <v>29</v>
      </c>
      <c r="M1011" s="11" t="s">
        <v>697</v>
      </c>
    </row>
    <row r="1012" spans="1:13" x14ac:dyDescent="0.25">
      <c r="A1012" s="10">
        <v>2010</v>
      </c>
      <c r="B1012" s="3">
        <v>45210</v>
      </c>
      <c r="C1012" s="2" t="s">
        <v>14</v>
      </c>
      <c r="D1012" s="2" t="s">
        <v>75</v>
      </c>
      <c r="E1012" s="2" t="s">
        <v>82</v>
      </c>
      <c r="F1012" s="2" t="s">
        <v>60</v>
      </c>
      <c r="G1012" s="2">
        <v>1</v>
      </c>
      <c r="H1012" s="6">
        <v>4.99</v>
      </c>
      <c r="I1012" s="4">
        <f t="shared" si="15"/>
        <v>4.99</v>
      </c>
      <c r="J1012" s="2" t="s">
        <v>33</v>
      </c>
      <c r="K1012" s="2" t="s">
        <v>28</v>
      </c>
      <c r="L1012" s="2" t="s">
        <v>35</v>
      </c>
      <c r="M1012" s="11" t="s">
        <v>697</v>
      </c>
    </row>
    <row r="1013" spans="1:13" x14ac:dyDescent="0.25">
      <c r="A1013" s="10">
        <v>2011</v>
      </c>
      <c r="B1013" s="5" t="s">
        <v>697</v>
      </c>
      <c r="C1013" s="2" t="s">
        <v>37</v>
      </c>
      <c r="D1013" s="2" t="s">
        <v>38</v>
      </c>
      <c r="E1013" s="2" t="s">
        <v>82</v>
      </c>
      <c r="F1013" s="2" t="s">
        <v>60</v>
      </c>
      <c r="G1013" s="2">
        <v>1</v>
      </c>
      <c r="H1013" s="6">
        <v>4.99</v>
      </c>
      <c r="I1013" s="4">
        <f t="shared" si="15"/>
        <v>4.99</v>
      </c>
      <c r="J1013" s="2" t="s">
        <v>33</v>
      </c>
      <c r="K1013" s="2" t="s">
        <v>45</v>
      </c>
      <c r="L1013" s="2" t="s">
        <v>35</v>
      </c>
      <c r="M1013" s="11" t="s">
        <v>697</v>
      </c>
    </row>
    <row r="1014" spans="1:13" x14ac:dyDescent="0.25">
      <c r="A1014" s="10">
        <v>2012</v>
      </c>
      <c r="B1014" s="3">
        <v>45075</v>
      </c>
      <c r="C1014" s="2" t="s">
        <v>37</v>
      </c>
      <c r="D1014" s="2" t="s">
        <v>38</v>
      </c>
      <c r="E1014" s="2" t="s">
        <v>44</v>
      </c>
      <c r="F1014" s="2" t="s">
        <v>17</v>
      </c>
      <c r="G1014" s="2">
        <v>5</v>
      </c>
      <c r="H1014" s="6">
        <v>15.99</v>
      </c>
      <c r="I1014" s="4">
        <f t="shared" si="15"/>
        <v>79.95</v>
      </c>
      <c r="J1014" s="2" t="s">
        <v>33</v>
      </c>
      <c r="K1014" s="2" t="s">
        <v>34</v>
      </c>
      <c r="L1014" s="2" t="s">
        <v>35</v>
      </c>
      <c r="M1014" s="11" t="s">
        <v>697</v>
      </c>
    </row>
    <row r="1015" spans="1:13" x14ac:dyDescent="0.25">
      <c r="A1015" s="10">
        <v>2013</v>
      </c>
      <c r="B1015" s="3">
        <v>44970</v>
      </c>
      <c r="C1015" s="2" t="s">
        <v>23</v>
      </c>
      <c r="D1015" s="2" t="s">
        <v>24</v>
      </c>
      <c r="E1015" s="2" t="s">
        <v>72</v>
      </c>
      <c r="F1015" s="2" t="s">
        <v>73</v>
      </c>
      <c r="G1015" s="2">
        <v>1</v>
      </c>
      <c r="H1015" s="6">
        <v>49.99</v>
      </c>
      <c r="I1015" s="4">
        <f t="shared" si="15"/>
        <v>49.99</v>
      </c>
      <c r="J1015" s="2" t="s">
        <v>33</v>
      </c>
      <c r="K1015" s="2" t="s">
        <v>129</v>
      </c>
      <c r="L1015" s="2" t="s">
        <v>35</v>
      </c>
      <c r="M1015" s="11" t="s">
        <v>697</v>
      </c>
    </row>
    <row r="1016" spans="1:13" x14ac:dyDescent="0.25">
      <c r="A1016" s="10">
        <v>2014</v>
      </c>
      <c r="B1016" s="3">
        <v>45288</v>
      </c>
      <c r="C1016" s="2" t="s">
        <v>70</v>
      </c>
      <c r="D1016" s="2" t="s">
        <v>71</v>
      </c>
      <c r="E1016" s="2" t="s">
        <v>127</v>
      </c>
      <c r="F1016" s="2" t="s">
        <v>73</v>
      </c>
      <c r="G1016" s="4" t="s">
        <v>697</v>
      </c>
      <c r="H1016" s="6">
        <v>29.99</v>
      </c>
      <c r="I1016" s="4" t="str">
        <f t="shared" si="15"/>
        <v>N/A</v>
      </c>
      <c r="J1016" s="2" t="s">
        <v>33</v>
      </c>
      <c r="K1016" s="2" t="s">
        <v>34</v>
      </c>
      <c r="L1016" s="2" t="s">
        <v>35</v>
      </c>
      <c r="M1016" s="11" t="s">
        <v>697</v>
      </c>
    </row>
    <row r="1017" spans="1:13" x14ac:dyDescent="0.25">
      <c r="A1017" s="10">
        <v>2015</v>
      </c>
      <c r="B1017" s="3">
        <v>45287</v>
      </c>
      <c r="C1017" s="2" t="s">
        <v>14</v>
      </c>
      <c r="D1017" s="2" t="s">
        <v>75</v>
      </c>
      <c r="E1017" s="2" t="s">
        <v>31</v>
      </c>
      <c r="F1017" s="2" t="s">
        <v>32</v>
      </c>
      <c r="G1017" s="2">
        <v>3</v>
      </c>
      <c r="H1017" s="6">
        <v>79.989999999999995</v>
      </c>
      <c r="I1017" s="4">
        <f t="shared" si="15"/>
        <v>239.96999999999997</v>
      </c>
      <c r="J1017" s="2" t="s">
        <v>54</v>
      </c>
      <c r="K1017" s="2" t="s">
        <v>28</v>
      </c>
      <c r="L1017" s="2" t="s">
        <v>35</v>
      </c>
      <c r="M1017" s="11" t="s">
        <v>697</v>
      </c>
    </row>
    <row r="1018" spans="1:13" x14ac:dyDescent="0.25">
      <c r="A1018" s="10">
        <v>2016</v>
      </c>
      <c r="B1018" s="3">
        <v>44963</v>
      </c>
      <c r="C1018" s="2" t="s">
        <v>37</v>
      </c>
      <c r="D1018" s="2" t="s">
        <v>169</v>
      </c>
      <c r="E1018" s="2" t="s">
        <v>82</v>
      </c>
      <c r="F1018" s="2" t="s">
        <v>60</v>
      </c>
      <c r="G1018" s="2">
        <v>1</v>
      </c>
      <c r="H1018" s="6">
        <v>4.99</v>
      </c>
      <c r="I1018" s="4">
        <f t="shared" si="15"/>
        <v>4.99</v>
      </c>
      <c r="J1018" s="2" t="s">
        <v>33</v>
      </c>
      <c r="K1018" s="2" t="s">
        <v>45</v>
      </c>
      <c r="L1018" s="2" t="s">
        <v>35</v>
      </c>
      <c r="M1018" s="11" t="s">
        <v>697</v>
      </c>
    </row>
    <row r="1019" spans="1:13" x14ac:dyDescent="0.25">
      <c r="A1019" s="10">
        <v>2017</v>
      </c>
      <c r="B1019" s="3">
        <v>44962</v>
      </c>
      <c r="C1019" s="2" t="s">
        <v>42</v>
      </c>
      <c r="D1019" s="2" t="s">
        <v>116</v>
      </c>
      <c r="E1019" s="2" t="s">
        <v>44</v>
      </c>
      <c r="F1019" s="2" t="s">
        <v>17</v>
      </c>
      <c r="G1019" s="2">
        <v>2</v>
      </c>
      <c r="H1019" s="6">
        <v>15.99</v>
      </c>
      <c r="I1019" s="4">
        <f t="shared" si="15"/>
        <v>31.98</v>
      </c>
      <c r="J1019" s="2" t="s">
        <v>27</v>
      </c>
      <c r="K1019" s="2" t="s">
        <v>45</v>
      </c>
      <c r="L1019" s="2" t="s">
        <v>35</v>
      </c>
      <c r="M1019" s="11" t="s">
        <v>697</v>
      </c>
    </row>
    <row r="1020" spans="1:13" x14ac:dyDescent="0.25">
      <c r="A1020" s="10">
        <v>2018</v>
      </c>
      <c r="B1020" s="3">
        <v>45360</v>
      </c>
      <c r="C1020" s="2" t="s">
        <v>697</v>
      </c>
      <c r="D1020" s="2" t="s">
        <v>131</v>
      </c>
      <c r="E1020" s="2" t="s">
        <v>39</v>
      </c>
      <c r="F1020" s="2" t="s">
        <v>17</v>
      </c>
      <c r="G1020" s="2">
        <v>1</v>
      </c>
      <c r="H1020" s="6">
        <v>39.99</v>
      </c>
      <c r="I1020" s="4">
        <f t="shared" si="15"/>
        <v>39.99</v>
      </c>
      <c r="J1020" s="2" t="s">
        <v>19</v>
      </c>
      <c r="K1020" s="2" t="s">
        <v>28</v>
      </c>
      <c r="L1020" s="2" t="s">
        <v>40</v>
      </c>
      <c r="M1020" s="11" t="s">
        <v>697</v>
      </c>
    </row>
    <row r="1021" spans="1:13" x14ac:dyDescent="0.25">
      <c r="A1021" s="10">
        <v>2019</v>
      </c>
      <c r="B1021" s="3">
        <v>45092</v>
      </c>
      <c r="C1021" s="2" t="s">
        <v>23</v>
      </c>
      <c r="D1021" s="2" t="s">
        <v>24</v>
      </c>
      <c r="E1021" s="2" t="s">
        <v>82</v>
      </c>
      <c r="F1021" s="2" t="s">
        <v>60</v>
      </c>
      <c r="G1021" s="2">
        <v>1</v>
      </c>
      <c r="H1021" s="6">
        <v>4.99</v>
      </c>
      <c r="I1021" s="4">
        <f t="shared" si="15"/>
        <v>4.99</v>
      </c>
      <c r="J1021" s="2" t="s">
        <v>19</v>
      </c>
      <c r="K1021" s="2" t="s">
        <v>129</v>
      </c>
      <c r="L1021" s="2" t="s">
        <v>35</v>
      </c>
      <c r="M1021" s="11" t="s">
        <v>697</v>
      </c>
    </row>
    <row r="1022" spans="1:13" x14ac:dyDescent="0.25">
      <c r="A1022" s="10">
        <v>2020</v>
      </c>
      <c r="B1022" s="3">
        <v>45353</v>
      </c>
      <c r="C1022" s="2" t="s">
        <v>697</v>
      </c>
      <c r="D1022" s="2" t="s">
        <v>75</v>
      </c>
      <c r="E1022" s="2" t="s">
        <v>52</v>
      </c>
      <c r="F1022" s="2" t="s">
        <v>53</v>
      </c>
      <c r="G1022" s="2">
        <v>5</v>
      </c>
      <c r="H1022" s="6">
        <v>59.99</v>
      </c>
      <c r="I1022" s="4">
        <f t="shared" si="15"/>
        <v>299.95</v>
      </c>
      <c r="J1022" s="2" t="s">
        <v>33</v>
      </c>
      <c r="K1022" s="2" t="s">
        <v>129</v>
      </c>
      <c r="L1022" s="2" t="s">
        <v>35</v>
      </c>
      <c r="M1022" s="11" t="s">
        <v>697</v>
      </c>
    </row>
    <row r="1023" spans="1:13" x14ac:dyDescent="0.25">
      <c r="A1023" s="10">
        <v>2021</v>
      </c>
      <c r="B1023" s="3">
        <v>45016</v>
      </c>
      <c r="C1023" s="2" t="s">
        <v>23</v>
      </c>
      <c r="D1023" s="2" t="s">
        <v>81</v>
      </c>
      <c r="E1023" s="2" t="s">
        <v>52</v>
      </c>
      <c r="F1023" s="2" t="s">
        <v>53</v>
      </c>
      <c r="G1023" s="2">
        <v>4</v>
      </c>
      <c r="H1023" s="6">
        <v>59.99</v>
      </c>
      <c r="I1023" s="4">
        <f t="shared" si="15"/>
        <v>239.96</v>
      </c>
      <c r="J1023" s="2" t="s">
        <v>27</v>
      </c>
      <c r="K1023" s="2" t="s">
        <v>45</v>
      </c>
      <c r="L1023" s="2" t="s">
        <v>35</v>
      </c>
      <c r="M1023" s="11" t="s">
        <v>697</v>
      </c>
    </row>
    <row r="1024" spans="1:13" x14ac:dyDescent="0.25">
      <c r="A1024" s="10">
        <v>2022</v>
      </c>
      <c r="B1024" s="3">
        <v>45248</v>
      </c>
      <c r="C1024" s="2" t="s">
        <v>23</v>
      </c>
      <c r="D1024" s="2" t="s">
        <v>124</v>
      </c>
      <c r="E1024" s="2" t="s">
        <v>127</v>
      </c>
      <c r="F1024" s="2" t="s">
        <v>73</v>
      </c>
      <c r="G1024" s="2">
        <v>1</v>
      </c>
      <c r="H1024" s="6">
        <v>29.99</v>
      </c>
      <c r="I1024" s="4">
        <f t="shared" si="15"/>
        <v>29.99</v>
      </c>
      <c r="J1024" s="2" t="s">
        <v>19</v>
      </c>
      <c r="K1024" s="2" t="s">
        <v>45</v>
      </c>
      <c r="L1024" s="2" t="s">
        <v>35</v>
      </c>
      <c r="M1024" s="11" t="s">
        <v>697</v>
      </c>
    </row>
    <row r="1025" spans="1:13" x14ac:dyDescent="0.25">
      <c r="A1025" s="10">
        <v>2023</v>
      </c>
      <c r="B1025" s="3">
        <v>45135</v>
      </c>
      <c r="C1025" s="2" t="s">
        <v>37</v>
      </c>
      <c r="D1025" s="2" t="s">
        <v>38</v>
      </c>
      <c r="E1025" s="2" t="s">
        <v>52</v>
      </c>
      <c r="F1025" s="2" t="s">
        <v>53</v>
      </c>
      <c r="G1025" s="2">
        <v>2</v>
      </c>
      <c r="H1025" s="6">
        <v>59.99</v>
      </c>
      <c r="I1025" s="4">
        <f t="shared" si="15"/>
        <v>119.98</v>
      </c>
      <c r="J1025" s="2" t="s">
        <v>33</v>
      </c>
      <c r="K1025" s="2" t="s">
        <v>45</v>
      </c>
      <c r="L1025" s="2" t="s">
        <v>40</v>
      </c>
      <c r="M1025" s="11" t="s">
        <v>697</v>
      </c>
    </row>
    <row r="1026" spans="1:13" x14ac:dyDescent="0.25">
      <c r="A1026" s="10">
        <v>2024</v>
      </c>
      <c r="B1026" s="3">
        <v>45214</v>
      </c>
      <c r="C1026" s="2" t="s">
        <v>65</v>
      </c>
      <c r="D1026" s="4" t="s">
        <v>697</v>
      </c>
      <c r="E1026" s="2" t="s">
        <v>44</v>
      </c>
      <c r="F1026" s="2" t="s">
        <v>17</v>
      </c>
      <c r="G1026" s="4" t="s">
        <v>697</v>
      </c>
      <c r="H1026" s="6">
        <v>15.99</v>
      </c>
      <c r="I1026" s="4" t="str">
        <f t="shared" si="15"/>
        <v>N/A</v>
      </c>
      <c r="J1026" s="2" t="s">
        <v>33</v>
      </c>
      <c r="K1026" s="2" t="s">
        <v>129</v>
      </c>
      <c r="L1026" s="2" t="s">
        <v>40</v>
      </c>
      <c r="M1026" s="11" t="s">
        <v>697</v>
      </c>
    </row>
    <row r="1027" spans="1:13" x14ac:dyDescent="0.25">
      <c r="A1027" s="10">
        <v>2025</v>
      </c>
      <c r="B1027" s="3">
        <v>45325</v>
      </c>
      <c r="C1027" s="2" t="s">
        <v>77</v>
      </c>
      <c r="D1027" s="2" t="s">
        <v>114</v>
      </c>
      <c r="E1027" s="2" t="s">
        <v>92</v>
      </c>
      <c r="F1027" s="2" t="s">
        <v>26</v>
      </c>
      <c r="G1027" s="4" t="s">
        <v>697</v>
      </c>
      <c r="H1027" s="6">
        <v>14.99</v>
      </c>
      <c r="I1027" s="4" t="str">
        <f t="shared" ref="I1027:I1051" si="16">IF(G1027="N/A","N/A",PRODUCT(G1027,H1027))</f>
        <v>N/A</v>
      </c>
      <c r="J1027" s="2" t="s">
        <v>27</v>
      </c>
      <c r="K1027" s="2" t="s">
        <v>45</v>
      </c>
      <c r="L1027" s="2" t="s">
        <v>40</v>
      </c>
      <c r="M1027" s="11" t="s">
        <v>697</v>
      </c>
    </row>
    <row r="1028" spans="1:13" x14ac:dyDescent="0.25">
      <c r="A1028" s="10">
        <v>2026</v>
      </c>
      <c r="B1028" s="5" t="s">
        <v>697</v>
      </c>
      <c r="C1028" s="2" t="s">
        <v>65</v>
      </c>
      <c r="D1028" s="2" t="s">
        <v>66</v>
      </c>
      <c r="E1028" s="2" t="s">
        <v>92</v>
      </c>
      <c r="F1028" s="2" t="s">
        <v>26</v>
      </c>
      <c r="G1028" s="2">
        <v>4</v>
      </c>
      <c r="H1028" s="6">
        <v>14.99</v>
      </c>
      <c r="I1028" s="4">
        <f t="shared" si="16"/>
        <v>59.96</v>
      </c>
      <c r="J1028" s="2" t="s">
        <v>33</v>
      </c>
      <c r="K1028" s="2" t="s">
        <v>129</v>
      </c>
      <c r="L1028" s="2" t="s">
        <v>35</v>
      </c>
      <c r="M1028" s="11" t="s">
        <v>697</v>
      </c>
    </row>
    <row r="1029" spans="1:13" x14ac:dyDescent="0.25">
      <c r="A1029" s="10">
        <v>2027</v>
      </c>
      <c r="B1029" s="3">
        <v>45178</v>
      </c>
      <c r="C1029" s="2" t="s">
        <v>14</v>
      </c>
      <c r="D1029" s="2" t="s">
        <v>15</v>
      </c>
      <c r="E1029" s="2" t="s">
        <v>52</v>
      </c>
      <c r="F1029" s="2" t="s">
        <v>53</v>
      </c>
      <c r="G1029" s="2">
        <v>1</v>
      </c>
      <c r="H1029" s="6">
        <v>59.99</v>
      </c>
      <c r="I1029" s="4">
        <f t="shared" si="16"/>
        <v>59.99</v>
      </c>
      <c r="J1029" s="2" t="s">
        <v>54</v>
      </c>
      <c r="K1029" s="2" t="s">
        <v>28</v>
      </c>
      <c r="L1029" s="2" t="s">
        <v>35</v>
      </c>
      <c r="M1029" s="11" t="s">
        <v>697</v>
      </c>
    </row>
    <row r="1030" spans="1:13" x14ac:dyDescent="0.25">
      <c r="A1030" s="10">
        <v>2028</v>
      </c>
      <c r="B1030" s="3">
        <v>45000</v>
      </c>
      <c r="C1030" s="2" t="s">
        <v>37</v>
      </c>
      <c r="D1030" s="2" t="s">
        <v>38</v>
      </c>
      <c r="E1030" s="2" t="s">
        <v>39</v>
      </c>
      <c r="F1030" s="2" t="s">
        <v>17</v>
      </c>
      <c r="G1030" s="2">
        <v>3</v>
      </c>
      <c r="H1030" s="6">
        <v>39.99</v>
      </c>
      <c r="I1030" s="4">
        <f t="shared" si="16"/>
        <v>119.97</v>
      </c>
      <c r="J1030" s="2" t="s">
        <v>27</v>
      </c>
      <c r="K1030" s="2" t="s">
        <v>129</v>
      </c>
      <c r="L1030" s="2" t="s">
        <v>40</v>
      </c>
      <c r="M1030" s="11" t="s">
        <v>697</v>
      </c>
    </row>
    <row r="1031" spans="1:13" x14ac:dyDescent="0.25">
      <c r="A1031" s="10">
        <v>2029</v>
      </c>
      <c r="B1031" s="5" t="s">
        <v>697</v>
      </c>
      <c r="C1031" s="2" t="s">
        <v>77</v>
      </c>
      <c r="D1031" s="2" t="s">
        <v>78</v>
      </c>
      <c r="E1031" s="2" t="s">
        <v>127</v>
      </c>
      <c r="F1031" s="2" t="s">
        <v>73</v>
      </c>
      <c r="G1031" s="2">
        <v>3</v>
      </c>
      <c r="H1031" s="6">
        <v>29.99</v>
      </c>
      <c r="I1031" s="4">
        <f t="shared" si="16"/>
        <v>89.97</v>
      </c>
      <c r="J1031" s="2" t="s">
        <v>33</v>
      </c>
      <c r="K1031" s="2" t="s">
        <v>28</v>
      </c>
      <c r="L1031" s="2" t="s">
        <v>35</v>
      </c>
      <c r="M1031" s="12" t="s">
        <v>63</v>
      </c>
    </row>
    <row r="1032" spans="1:13" x14ac:dyDescent="0.25">
      <c r="A1032" s="10">
        <v>2030</v>
      </c>
      <c r="B1032" s="3">
        <v>45177</v>
      </c>
      <c r="C1032" s="2" t="s">
        <v>23</v>
      </c>
      <c r="D1032" s="2" t="s">
        <v>124</v>
      </c>
      <c r="E1032" s="2" t="s">
        <v>31</v>
      </c>
      <c r="F1032" s="2" t="s">
        <v>32</v>
      </c>
      <c r="G1032" s="2">
        <v>4</v>
      </c>
      <c r="H1032" s="6">
        <v>79.989999999999995</v>
      </c>
      <c r="I1032" s="4">
        <f t="shared" si="16"/>
        <v>319.95999999999998</v>
      </c>
      <c r="J1032" s="2" t="s">
        <v>19</v>
      </c>
      <c r="K1032" s="2" t="s">
        <v>34</v>
      </c>
      <c r="L1032" s="2" t="s">
        <v>29</v>
      </c>
      <c r="M1032" s="11" t="s">
        <v>697</v>
      </c>
    </row>
    <row r="1033" spans="1:13" x14ac:dyDescent="0.25">
      <c r="A1033" s="10">
        <v>2031</v>
      </c>
      <c r="B1033" s="3">
        <v>45176</v>
      </c>
      <c r="C1033" s="2" t="s">
        <v>77</v>
      </c>
      <c r="D1033" s="2" t="s">
        <v>78</v>
      </c>
      <c r="E1033" s="2" t="s">
        <v>72</v>
      </c>
      <c r="F1033" s="2" t="s">
        <v>73</v>
      </c>
      <c r="G1033" s="2">
        <v>2</v>
      </c>
      <c r="H1033" s="6">
        <v>49.99</v>
      </c>
      <c r="I1033" s="4">
        <f t="shared" si="16"/>
        <v>99.98</v>
      </c>
      <c r="J1033" s="2" t="s">
        <v>19</v>
      </c>
      <c r="K1033" s="2" t="s">
        <v>28</v>
      </c>
      <c r="L1033" s="2" t="s">
        <v>35</v>
      </c>
      <c r="M1033" s="11" t="s">
        <v>697</v>
      </c>
    </row>
    <row r="1034" spans="1:13" x14ac:dyDescent="0.25">
      <c r="A1034" s="10">
        <v>2032</v>
      </c>
      <c r="B1034" s="5" t="s">
        <v>697</v>
      </c>
      <c r="C1034" s="2" t="s">
        <v>77</v>
      </c>
      <c r="D1034" s="2" t="s">
        <v>91</v>
      </c>
      <c r="E1034" s="2" t="s">
        <v>85</v>
      </c>
      <c r="F1034" s="2" t="s">
        <v>26</v>
      </c>
      <c r="G1034" s="2">
        <v>2</v>
      </c>
      <c r="H1034" s="6">
        <v>99.99</v>
      </c>
      <c r="I1034" s="4">
        <f t="shared" si="16"/>
        <v>199.98</v>
      </c>
      <c r="J1034" s="2" t="s">
        <v>27</v>
      </c>
      <c r="K1034" s="2" t="s">
        <v>129</v>
      </c>
      <c r="L1034" s="2" t="s">
        <v>40</v>
      </c>
      <c r="M1034" s="11" t="s">
        <v>697</v>
      </c>
    </row>
    <row r="1035" spans="1:13" x14ac:dyDescent="0.25">
      <c r="A1035" s="10">
        <v>2033</v>
      </c>
      <c r="B1035" s="3">
        <v>45386</v>
      </c>
      <c r="C1035" s="2" t="s">
        <v>23</v>
      </c>
      <c r="D1035" s="2" t="s">
        <v>124</v>
      </c>
      <c r="E1035" s="2" t="s">
        <v>82</v>
      </c>
      <c r="F1035" s="2" t="s">
        <v>60</v>
      </c>
      <c r="G1035" s="2">
        <v>1</v>
      </c>
      <c r="H1035" s="6">
        <v>4.99</v>
      </c>
      <c r="I1035" s="4">
        <f t="shared" si="16"/>
        <v>4.99</v>
      </c>
      <c r="J1035" s="2" t="s">
        <v>33</v>
      </c>
      <c r="K1035" s="2" t="s">
        <v>45</v>
      </c>
      <c r="L1035" s="2" t="s">
        <v>40</v>
      </c>
      <c r="M1035" s="11" t="s">
        <v>697</v>
      </c>
    </row>
    <row r="1036" spans="1:13" x14ac:dyDescent="0.25">
      <c r="A1036" s="10">
        <v>2034</v>
      </c>
      <c r="B1036" s="3">
        <v>45285</v>
      </c>
      <c r="C1036" s="2" t="s">
        <v>42</v>
      </c>
      <c r="D1036" s="2" t="s">
        <v>116</v>
      </c>
      <c r="E1036" s="2" t="s">
        <v>92</v>
      </c>
      <c r="F1036" s="2" t="s">
        <v>26</v>
      </c>
      <c r="G1036" s="4" t="s">
        <v>697</v>
      </c>
      <c r="H1036" s="6">
        <v>14.99</v>
      </c>
      <c r="I1036" s="4" t="str">
        <f t="shared" si="16"/>
        <v>N/A</v>
      </c>
      <c r="J1036" s="2" t="s">
        <v>33</v>
      </c>
      <c r="K1036" s="2" t="s">
        <v>28</v>
      </c>
      <c r="L1036" s="2" t="s">
        <v>35</v>
      </c>
      <c r="M1036" s="11" t="s">
        <v>697</v>
      </c>
    </row>
    <row r="1037" spans="1:13" x14ac:dyDescent="0.25">
      <c r="A1037" s="10">
        <v>2035</v>
      </c>
      <c r="B1037" s="3">
        <v>44959</v>
      </c>
      <c r="C1037" s="2" t="s">
        <v>23</v>
      </c>
      <c r="D1037" s="2" t="s">
        <v>124</v>
      </c>
      <c r="E1037" s="2" t="s">
        <v>52</v>
      </c>
      <c r="F1037" s="2" t="s">
        <v>53</v>
      </c>
      <c r="G1037" s="4" t="s">
        <v>697</v>
      </c>
      <c r="H1037" s="6">
        <v>59.99</v>
      </c>
      <c r="I1037" s="4" t="str">
        <f t="shared" si="16"/>
        <v>N/A</v>
      </c>
      <c r="J1037" s="2" t="s">
        <v>33</v>
      </c>
      <c r="K1037" s="2" t="s">
        <v>45</v>
      </c>
      <c r="L1037" s="2" t="s">
        <v>35</v>
      </c>
      <c r="M1037" s="11" t="s">
        <v>697</v>
      </c>
    </row>
    <row r="1038" spans="1:13" x14ac:dyDescent="0.25">
      <c r="A1038" s="10">
        <v>2036</v>
      </c>
      <c r="B1038" s="3">
        <v>45065</v>
      </c>
      <c r="C1038" s="2" t="s">
        <v>65</v>
      </c>
      <c r="D1038" s="2" t="s">
        <v>126</v>
      </c>
      <c r="E1038" s="2" t="s">
        <v>82</v>
      </c>
      <c r="F1038" s="2" t="s">
        <v>60</v>
      </c>
      <c r="G1038" s="4" t="s">
        <v>697</v>
      </c>
      <c r="H1038" s="6">
        <v>4.99</v>
      </c>
      <c r="I1038" s="4" t="str">
        <f t="shared" si="16"/>
        <v>N/A</v>
      </c>
      <c r="J1038" s="2" t="s">
        <v>33</v>
      </c>
      <c r="K1038" s="2" t="s">
        <v>55</v>
      </c>
      <c r="L1038" s="2" t="s">
        <v>40</v>
      </c>
      <c r="M1038" s="11" t="s">
        <v>697</v>
      </c>
    </row>
    <row r="1039" spans="1:13" x14ac:dyDescent="0.25">
      <c r="A1039" s="10">
        <v>2037</v>
      </c>
      <c r="B1039" s="3">
        <v>45224</v>
      </c>
      <c r="C1039" s="2" t="s">
        <v>65</v>
      </c>
      <c r="D1039" s="2" t="s">
        <v>126</v>
      </c>
      <c r="E1039" s="2" t="s">
        <v>92</v>
      </c>
      <c r="F1039" s="2" t="s">
        <v>26</v>
      </c>
      <c r="G1039" s="4" t="s">
        <v>697</v>
      </c>
      <c r="H1039" s="6">
        <v>14.99</v>
      </c>
      <c r="I1039" s="4" t="str">
        <f t="shared" si="16"/>
        <v>N/A</v>
      </c>
      <c r="J1039" s="2" t="s">
        <v>54</v>
      </c>
      <c r="K1039" s="2" t="s">
        <v>34</v>
      </c>
      <c r="L1039" s="2" t="s">
        <v>40</v>
      </c>
      <c r="M1039" s="11" t="s">
        <v>697</v>
      </c>
    </row>
    <row r="1040" spans="1:13" x14ac:dyDescent="0.25">
      <c r="A1040" s="10">
        <v>2038</v>
      </c>
      <c r="B1040" s="3">
        <v>45135</v>
      </c>
      <c r="C1040" s="2" t="s">
        <v>14</v>
      </c>
      <c r="D1040" s="2" t="s">
        <v>84</v>
      </c>
      <c r="E1040" s="2" t="s">
        <v>31</v>
      </c>
      <c r="F1040" s="2" t="s">
        <v>32</v>
      </c>
      <c r="G1040" s="4" t="s">
        <v>697</v>
      </c>
      <c r="H1040" s="6">
        <v>79.989999999999995</v>
      </c>
      <c r="I1040" s="4" t="str">
        <f t="shared" si="16"/>
        <v>N/A</v>
      </c>
      <c r="J1040" s="2" t="s">
        <v>54</v>
      </c>
      <c r="K1040" s="2" t="s">
        <v>34</v>
      </c>
      <c r="L1040" s="2" t="s">
        <v>40</v>
      </c>
      <c r="M1040" s="11" t="s">
        <v>697</v>
      </c>
    </row>
    <row r="1041" spans="1:13" x14ac:dyDescent="0.25">
      <c r="A1041" s="10">
        <v>2039</v>
      </c>
      <c r="B1041" s="3">
        <v>44969</v>
      </c>
      <c r="C1041" s="2" t="s">
        <v>77</v>
      </c>
      <c r="D1041" s="2" t="s">
        <v>78</v>
      </c>
      <c r="E1041" s="2" t="s">
        <v>85</v>
      </c>
      <c r="F1041" s="2" t="s">
        <v>26</v>
      </c>
      <c r="G1041" s="2">
        <v>3</v>
      </c>
      <c r="H1041" s="6">
        <v>99.99</v>
      </c>
      <c r="I1041" s="4">
        <f t="shared" si="16"/>
        <v>299.96999999999997</v>
      </c>
      <c r="J1041" s="2" t="s">
        <v>19</v>
      </c>
      <c r="K1041" s="2" t="s">
        <v>34</v>
      </c>
      <c r="L1041" s="2" t="s">
        <v>29</v>
      </c>
      <c r="M1041" s="11" t="s">
        <v>697</v>
      </c>
    </row>
    <row r="1042" spans="1:13" x14ac:dyDescent="0.25">
      <c r="A1042" s="10">
        <v>2040</v>
      </c>
      <c r="B1042" s="3">
        <v>45141</v>
      </c>
      <c r="C1042" s="2" t="s">
        <v>65</v>
      </c>
      <c r="D1042" s="2" t="s">
        <v>66</v>
      </c>
      <c r="E1042" s="2" t="s">
        <v>52</v>
      </c>
      <c r="F1042" s="2" t="s">
        <v>53</v>
      </c>
      <c r="G1042" s="2">
        <v>4</v>
      </c>
      <c r="H1042" s="6">
        <v>59.99</v>
      </c>
      <c r="I1042" s="4">
        <f t="shared" si="16"/>
        <v>239.96</v>
      </c>
      <c r="J1042" s="2" t="s">
        <v>54</v>
      </c>
      <c r="K1042" s="2" t="s">
        <v>28</v>
      </c>
      <c r="L1042" s="2" t="s">
        <v>35</v>
      </c>
      <c r="M1042" s="11" t="s">
        <v>697</v>
      </c>
    </row>
    <row r="1043" spans="1:13" x14ac:dyDescent="0.25">
      <c r="A1043" s="10">
        <v>2041</v>
      </c>
      <c r="B1043" s="3">
        <v>45153</v>
      </c>
      <c r="C1043" s="2" t="s">
        <v>70</v>
      </c>
      <c r="D1043" s="2" t="s">
        <v>131</v>
      </c>
      <c r="E1043" s="2" t="s">
        <v>52</v>
      </c>
      <c r="F1043" s="2" t="s">
        <v>53</v>
      </c>
      <c r="G1043" s="2">
        <v>1</v>
      </c>
      <c r="H1043" s="6">
        <v>59.99</v>
      </c>
      <c r="I1043" s="4">
        <f t="shared" si="16"/>
        <v>59.99</v>
      </c>
      <c r="J1043" s="2" t="s">
        <v>33</v>
      </c>
      <c r="K1043" s="2" t="s">
        <v>55</v>
      </c>
      <c r="L1043" s="2" t="s">
        <v>35</v>
      </c>
      <c r="M1043" s="11" t="s">
        <v>697</v>
      </c>
    </row>
    <row r="1044" spans="1:13" x14ac:dyDescent="0.25">
      <c r="A1044" s="10">
        <v>2042</v>
      </c>
      <c r="B1044" s="3">
        <v>45091</v>
      </c>
      <c r="C1044" s="2" t="s">
        <v>70</v>
      </c>
      <c r="D1044" s="2" t="s">
        <v>131</v>
      </c>
      <c r="E1044" s="2" t="s">
        <v>85</v>
      </c>
      <c r="F1044" s="2" t="s">
        <v>26</v>
      </c>
      <c r="G1044" s="2">
        <v>1</v>
      </c>
      <c r="H1044" s="6">
        <v>99.99</v>
      </c>
      <c r="I1044" s="4">
        <f t="shared" si="16"/>
        <v>99.99</v>
      </c>
      <c r="J1044" s="2" t="s">
        <v>33</v>
      </c>
      <c r="K1044" s="2" t="s">
        <v>45</v>
      </c>
      <c r="L1044" s="2" t="s">
        <v>35</v>
      </c>
      <c r="M1044" s="11" t="s">
        <v>697</v>
      </c>
    </row>
    <row r="1045" spans="1:13" x14ac:dyDescent="0.25">
      <c r="A1045" s="10">
        <v>2043</v>
      </c>
      <c r="B1045" s="3">
        <v>45310</v>
      </c>
      <c r="C1045" s="2" t="s">
        <v>77</v>
      </c>
      <c r="D1045" s="2" t="s">
        <v>78</v>
      </c>
      <c r="E1045" s="2" t="s">
        <v>92</v>
      </c>
      <c r="F1045" s="2" t="s">
        <v>26</v>
      </c>
      <c r="G1045" s="2">
        <v>5</v>
      </c>
      <c r="H1045" s="6">
        <v>14.99</v>
      </c>
      <c r="I1045" s="4">
        <f t="shared" si="16"/>
        <v>74.95</v>
      </c>
      <c r="J1045" s="2" t="s">
        <v>27</v>
      </c>
      <c r="K1045" s="2" t="s">
        <v>34</v>
      </c>
      <c r="L1045" s="2" t="s">
        <v>35</v>
      </c>
      <c r="M1045" s="11" t="s">
        <v>697</v>
      </c>
    </row>
    <row r="1046" spans="1:13" x14ac:dyDescent="0.25">
      <c r="A1046" s="10">
        <v>2044</v>
      </c>
      <c r="B1046" s="5" t="s">
        <v>697</v>
      </c>
      <c r="C1046" s="2" t="s">
        <v>77</v>
      </c>
      <c r="D1046" s="2" t="s">
        <v>78</v>
      </c>
      <c r="E1046" s="2" t="s">
        <v>44</v>
      </c>
      <c r="F1046" s="2" t="s">
        <v>17</v>
      </c>
      <c r="G1046" s="4" t="s">
        <v>697</v>
      </c>
      <c r="H1046" s="6">
        <v>15.99</v>
      </c>
      <c r="I1046" s="4" t="str">
        <f t="shared" si="16"/>
        <v>N/A</v>
      </c>
      <c r="J1046" s="2" t="s">
        <v>33</v>
      </c>
      <c r="K1046" s="2" t="s">
        <v>28</v>
      </c>
      <c r="L1046" s="2" t="s">
        <v>35</v>
      </c>
      <c r="M1046" s="11" t="s">
        <v>697</v>
      </c>
    </row>
    <row r="1047" spans="1:13" x14ac:dyDescent="0.25">
      <c r="A1047" s="10">
        <v>2045</v>
      </c>
      <c r="B1047" s="3">
        <v>45276</v>
      </c>
      <c r="C1047" s="2" t="s">
        <v>65</v>
      </c>
      <c r="D1047" s="2" t="s">
        <v>123</v>
      </c>
      <c r="E1047" s="2" t="s">
        <v>72</v>
      </c>
      <c r="F1047" s="2" t="s">
        <v>73</v>
      </c>
      <c r="G1047" s="4" t="s">
        <v>697</v>
      </c>
      <c r="H1047" s="6">
        <v>49.99</v>
      </c>
      <c r="I1047" s="4" t="str">
        <f t="shared" si="16"/>
        <v>N/A</v>
      </c>
      <c r="J1047" s="2" t="s">
        <v>33</v>
      </c>
      <c r="K1047" s="2" t="s">
        <v>28</v>
      </c>
      <c r="L1047" s="2" t="s">
        <v>35</v>
      </c>
      <c r="M1047" s="11" t="s">
        <v>697</v>
      </c>
    </row>
    <row r="1048" spans="1:13" x14ac:dyDescent="0.25">
      <c r="A1048" s="10">
        <v>2046</v>
      </c>
      <c r="B1048" s="3">
        <v>45040</v>
      </c>
      <c r="C1048" s="2" t="s">
        <v>42</v>
      </c>
      <c r="D1048" s="2" t="s">
        <v>116</v>
      </c>
      <c r="E1048" s="2" t="s">
        <v>72</v>
      </c>
      <c r="F1048" s="2" t="s">
        <v>73</v>
      </c>
      <c r="G1048" s="2">
        <v>3</v>
      </c>
      <c r="H1048" s="6">
        <v>49.99</v>
      </c>
      <c r="I1048" s="4">
        <f t="shared" si="16"/>
        <v>149.97</v>
      </c>
      <c r="J1048" s="2" t="s">
        <v>33</v>
      </c>
      <c r="K1048" s="2" t="s">
        <v>34</v>
      </c>
      <c r="L1048" s="2" t="s">
        <v>35</v>
      </c>
      <c r="M1048" s="11" t="s">
        <v>697</v>
      </c>
    </row>
    <row r="1049" spans="1:13" x14ac:dyDescent="0.25">
      <c r="A1049" s="10">
        <v>2047</v>
      </c>
      <c r="B1049" s="5" t="s">
        <v>697</v>
      </c>
      <c r="C1049" s="2" t="s">
        <v>65</v>
      </c>
      <c r="D1049" s="2" t="s">
        <v>66</v>
      </c>
      <c r="E1049" s="2" t="s">
        <v>31</v>
      </c>
      <c r="F1049" s="2" t="s">
        <v>32</v>
      </c>
      <c r="G1049" s="2">
        <v>5</v>
      </c>
      <c r="H1049" s="6">
        <v>79.989999999999995</v>
      </c>
      <c r="I1049" s="4">
        <f t="shared" si="16"/>
        <v>399.95</v>
      </c>
      <c r="J1049" s="2" t="s">
        <v>19</v>
      </c>
      <c r="K1049" s="2" t="s">
        <v>28</v>
      </c>
      <c r="L1049" s="2" t="s">
        <v>29</v>
      </c>
      <c r="M1049" s="11" t="s">
        <v>697</v>
      </c>
    </row>
    <row r="1050" spans="1:13" x14ac:dyDescent="0.25">
      <c r="A1050" s="10">
        <v>2048</v>
      </c>
      <c r="B1050" s="5" t="s">
        <v>697</v>
      </c>
      <c r="C1050" s="2" t="s">
        <v>77</v>
      </c>
      <c r="D1050" s="2" t="s">
        <v>78</v>
      </c>
      <c r="E1050" s="2" t="s">
        <v>44</v>
      </c>
      <c r="F1050" s="2" t="s">
        <v>17</v>
      </c>
      <c r="G1050" s="2">
        <v>1</v>
      </c>
      <c r="H1050" s="6">
        <v>15.99</v>
      </c>
      <c r="I1050" s="4">
        <f t="shared" si="16"/>
        <v>15.99</v>
      </c>
      <c r="J1050" s="2" t="s">
        <v>27</v>
      </c>
      <c r="K1050" s="2" t="s">
        <v>28</v>
      </c>
      <c r="L1050" s="2" t="s">
        <v>35</v>
      </c>
      <c r="M1050" s="12" t="s">
        <v>63</v>
      </c>
    </row>
    <row r="1051" spans="1:13" x14ac:dyDescent="0.25">
      <c r="A1051" s="13">
        <v>2049</v>
      </c>
      <c r="B1051" s="14">
        <v>45158</v>
      </c>
      <c r="C1051" s="15" t="s">
        <v>70</v>
      </c>
      <c r="D1051" s="15" t="s">
        <v>71</v>
      </c>
      <c r="E1051" s="15" t="s">
        <v>44</v>
      </c>
      <c r="F1051" s="15" t="s">
        <v>17</v>
      </c>
      <c r="G1051" s="15">
        <v>4</v>
      </c>
      <c r="H1051" s="16">
        <v>15.99</v>
      </c>
      <c r="I1051" s="17">
        <f t="shared" si="16"/>
        <v>63.96</v>
      </c>
      <c r="J1051" s="15" t="s">
        <v>54</v>
      </c>
      <c r="K1051" s="15" t="s">
        <v>55</v>
      </c>
      <c r="L1051" s="15" t="s">
        <v>35</v>
      </c>
      <c r="M1051" s="18" t="s">
        <v>697</v>
      </c>
    </row>
  </sheetData>
  <phoneticPr fontId="3" type="noConversion"/>
  <pageMargins left="0.75" right="0.75" top="1" bottom="1" header="0.5" footer="0.5"/>
  <pageSetup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AB901-6878-4245-B2A3-283463C12368}">
  <dimension ref="B2:L46"/>
  <sheetViews>
    <sheetView topLeftCell="C5" workbookViewId="0">
      <selection activeCell="M25" sqref="M25"/>
    </sheetView>
  </sheetViews>
  <sheetFormatPr defaultRowHeight="15" x14ac:dyDescent="0.25"/>
  <cols>
    <col min="2" max="2" width="14.28515625" bestFit="1" customWidth="1"/>
    <col min="3" max="3" width="13.85546875" bestFit="1" customWidth="1"/>
    <col min="4" max="4" width="37.28515625" bestFit="1" customWidth="1"/>
    <col min="5" max="5" width="9" bestFit="1" customWidth="1"/>
    <col min="6" max="6" width="19.28515625" bestFit="1" customWidth="1"/>
    <col min="7" max="7" width="9.28515625" bestFit="1" customWidth="1"/>
    <col min="8" max="8" width="41.85546875" bestFit="1" customWidth="1"/>
    <col min="10" max="10" width="11.85546875" bestFit="1" customWidth="1"/>
    <col min="11" max="11" width="9.28515625" bestFit="1" customWidth="1"/>
    <col min="12" max="12" width="15.28515625" bestFit="1" customWidth="1"/>
    <col min="13" max="13" width="11.85546875" bestFit="1" customWidth="1"/>
    <col min="14" max="14" width="17.85546875" bestFit="1" customWidth="1"/>
    <col min="15" max="15" width="8.7109375" bestFit="1" customWidth="1"/>
    <col min="16" max="16" width="20.7109375" bestFit="1" customWidth="1"/>
    <col min="17" max="17" width="17.85546875" bestFit="1" customWidth="1"/>
    <col min="18" max="18" width="21.7109375" bestFit="1" customWidth="1"/>
    <col min="19" max="34" width="9.7109375" bestFit="1" customWidth="1"/>
    <col min="35" max="43" width="8.7109375" bestFit="1" customWidth="1"/>
    <col min="44" max="55" width="9.7109375" bestFit="1" customWidth="1"/>
    <col min="56" max="59" width="8.7109375" bestFit="1" customWidth="1"/>
    <col min="60" max="76" width="9.7109375" bestFit="1" customWidth="1"/>
    <col min="77" max="84" width="8.7109375" bestFit="1" customWidth="1"/>
    <col min="85" max="97" width="9.7109375" bestFit="1" customWidth="1"/>
    <col min="98" max="103" width="8.7109375" bestFit="1" customWidth="1"/>
    <col min="104" max="121" width="9.7109375" bestFit="1" customWidth="1"/>
    <col min="122" max="127" width="8.7109375" bestFit="1" customWidth="1"/>
    <col min="128" max="142" width="9.7109375" bestFit="1" customWidth="1"/>
    <col min="143" max="149" width="8.7109375" bestFit="1" customWidth="1"/>
    <col min="150" max="163" width="9.7109375" bestFit="1" customWidth="1"/>
    <col min="164" max="170" width="8.7109375" bestFit="1" customWidth="1"/>
    <col min="171" max="188" width="9.7109375" bestFit="1" customWidth="1"/>
    <col min="189" max="196" width="8.7109375" bestFit="1" customWidth="1"/>
    <col min="197" max="216" width="9.7109375" bestFit="1" customWidth="1"/>
    <col min="217" max="233" width="10.7109375" bestFit="1" customWidth="1"/>
    <col min="234" max="241" width="9.7109375" bestFit="1" customWidth="1"/>
    <col min="242" max="257" width="10.7109375" bestFit="1" customWidth="1"/>
    <col min="258" max="265" width="9.7109375" bestFit="1" customWidth="1"/>
    <col min="266" max="283" width="10.7109375" bestFit="1" customWidth="1"/>
    <col min="284" max="289" width="8.7109375" bestFit="1" customWidth="1"/>
    <col min="290" max="304" width="9.7109375" bestFit="1" customWidth="1"/>
    <col min="305" max="312" width="8.7109375" bestFit="1" customWidth="1"/>
    <col min="313" max="329" width="9.7109375" bestFit="1" customWidth="1"/>
    <col min="330" max="335" width="8.7109375" bestFit="1" customWidth="1"/>
    <col min="336" max="355" width="9.7109375" bestFit="1" customWidth="1"/>
    <col min="356" max="362" width="8.7109375" bestFit="1" customWidth="1"/>
    <col min="363" max="378" width="9.7109375" bestFit="1" customWidth="1"/>
    <col min="379" max="385" width="8.7109375" bestFit="1" customWidth="1"/>
    <col min="386" max="389" width="9.7109375" bestFit="1" customWidth="1"/>
    <col min="390" max="390" width="11.28515625" bestFit="1" customWidth="1"/>
  </cols>
  <sheetData>
    <row r="2" spans="2:12" x14ac:dyDescent="0.25">
      <c r="B2" s="1"/>
    </row>
    <row r="5" spans="2:12" x14ac:dyDescent="0.25">
      <c r="B5" s="23" t="s">
        <v>11</v>
      </c>
      <c r="C5" t="s">
        <v>781</v>
      </c>
    </row>
    <row r="7" spans="2:12" x14ac:dyDescent="0.25">
      <c r="B7" s="23" t="s">
        <v>736</v>
      </c>
      <c r="C7" s="23" t="s">
        <v>770</v>
      </c>
    </row>
    <row r="8" spans="2:12" x14ac:dyDescent="0.25">
      <c r="B8" s="23" t="s">
        <v>5</v>
      </c>
      <c r="C8" t="s">
        <v>45</v>
      </c>
      <c r="D8" t="s">
        <v>28</v>
      </c>
      <c r="E8" t="s">
        <v>55</v>
      </c>
      <c r="F8" t="s">
        <v>34</v>
      </c>
      <c r="G8" t="s">
        <v>129</v>
      </c>
      <c r="H8" t="s">
        <v>735</v>
      </c>
      <c r="J8" s="1" t="s">
        <v>756</v>
      </c>
    </row>
    <row r="9" spans="2:12" x14ac:dyDescent="0.25">
      <c r="B9" s="9" t="s">
        <v>26</v>
      </c>
      <c r="C9" s="36">
        <v>5883.9099999999935</v>
      </c>
      <c r="D9" s="36">
        <v>12428.059999999994</v>
      </c>
      <c r="E9" s="36">
        <v>6714.1499999999969</v>
      </c>
      <c r="F9" s="36">
        <v>2684.3999999999992</v>
      </c>
      <c r="G9" s="36">
        <v>3214.4999999999991</v>
      </c>
      <c r="H9" s="36">
        <v>30925.019999999982</v>
      </c>
      <c r="J9" s="23" t="s">
        <v>11</v>
      </c>
      <c r="K9" t="s">
        <v>781</v>
      </c>
    </row>
    <row r="10" spans="2:12" x14ac:dyDescent="0.25">
      <c r="B10" s="9" t="s">
        <v>73</v>
      </c>
      <c r="C10" s="36">
        <v>4458.8399999999965</v>
      </c>
      <c r="D10" s="36">
        <v>6568.4499999999962</v>
      </c>
      <c r="E10" s="36">
        <v>1629.5300000000002</v>
      </c>
      <c r="F10" s="36">
        <v>3139.2199999999984</v>
      </c>
      <c r="G10" s="36">
        <v>3059.1999999999989</v>
      </c>
      <c r="H10" s="36">
        <v>18855.239999999991</v>
      </c>
    </row>
    <row r="11" spans="2:12" x14ac:dyDescent="0.25">
      <c r="B11" s="9" t="s">
        <v>32</v>
      </c>
      <c r="C11" s="36">
        <v>3119.6099999999988</v>
      </c>
      <c r="D11" s="36">
        <v>8158.9799999999968</v>
      </c>
      <c r="E11" s="36">
        <v>2799.65</v>
      </c>
      <c r="F11" s="36">
        <v>3039.62</v>
      </c>
      <c r="G11" s="36">
        <v>1199.8499999999999</v>
      </c>
      <c r="H11" s="36">
        <v>18317.709999999995</v>
      </c>
      <c r="J11" s="23" t="s">
        <v>755</v>
      </c>
      <c r="K11" t="s">
        <v>757</v>
      </c>
      <c r="L11" t="s">
        <v>780</v>
      </c>
    </row>
    <row r="12" spans="2:12" x14ac:dyDescent="0.25">
      <c r="B12" s="9" t="s">
        <v>53</v>
      </c>
      <c r="C12" s="36">
        <v>4799.199999999998</v>
      </c>
      <c r="D12" s="36">
        <v>5519.0799999999972</v>
      </c>
      <c r="E12" s="36">
        <v>1079.82</v>
      </c>
      <c r="F12" s="36">
        <v>2039.66</v>
      </c>
      <c r="G12" s="36">
        <v>1319.78</v>
      </c>
      <c r="H12" s="36">
        <v>14757.539999999995</v>
      </c>
      <c r="J12" s="9" t="s">
        <v>759</v>
      </c>
      <c r="K12" s="36">
        <v>49654.599999999977</v>
      </c>
      <c r="L12" s="36">
        <v>49654.599999999977</v>
      </c>
    </row>
    <row r="13" spans="2:12" x14ac:dyDescent="0.25">
      <c r="B13" s="9" t="s">
        <v>17</v>
      </c>
      <c r="C13" s="36">
        <v>2495.0699999999993</v>
      </c>
      <c r="D13" s="36">
        <v>5494.1999999999953</v>
      </c>
      <c r="E13" s="36">
        <v>1103.4900000000002</v>
      </c>
      <c r="F13" s="36">
        <v>1559.4900000000002</v>
      </c>
      <c r="G13" s="36">
        <v>1911.2700000000004</v>
      </c>
      <c r="H13" s="36">
        <v>12563.519999999995</v>
      </c>
      <c r="J13" s="24" t="s">
        <v>738</v>
      </c>
      <c r="K13" s="36">
        <v>4449.1099999999979</v>
      </c>
      <c r="L13" s="36">
        <v>4449.1099999999979</v>
      </c>
    </row>
    <row r="14" spans="2:12" x14ac:dyDescent="0.25">
      <c r="B14" s="9" t="s">
        <v>60</v>
      </c>
      <c r="C14" s="36">
        <v>389.22000000000008</v>
      </c>
      <c r="D14" s="36">
        <v>259.48</v>
      </c>
      <c r="E14" s="36">
        <v>194.61</v>
      </c>
      <c r="F14" s="36">
        <v>159.68</v>
      </c>
      <c r="G14" s="36">
        <v>149.69999999999999</v>
      </c>
      <c r="H14" s="36">
        <v>1152.69</v>
      </c>
      <c r="J14" s="24" t="s">
        <v>739</v>
      </c>
      <c r="K14" s="36">
        <v>3832.1799999999994</v>
      </c>
      <c r="L14" s="36">
        <v>3832.1799999999994</v>
      </c>
    </row>
    <row r="15" spans="2:12" x14ac:dyDescent="0.25">
      <c r="B15" s="9" t="s">
        <v>735</v>
      </c>
      <c r="C15" s="36">
        <v>21145.849999999988</v>
      </c>
      <c r="D15" s="36">
        <v>38428.249999999978</v>
      </c>
      <c r="E15" s="36">
        <v>13521.249999999998</v>
      </c>
      <c r="F15" s="36">
        <v>12622.069999999998</v>
      </c>
      <c r="G15" s="36">
        <v>10854.299999999997</v>
      </c>
      <c r="H15" s="36">
        <v>96571.719999999958</v>
      </c>
      <c r="J15" s="24" t="s">
        <v>740</v>
      </c>
      <c r="K15" s="36">
        <v>3519.9799999999982</v>
      </c>
      <c r="L15" s="36">
        <v>3519.9799999999982</v>
      </c>
    </row>
    <row r="16" spans="2:12" x14ac:dyDescent="0.25">
      <c r="J16" s="24" t="s">
        <v>741</v>
      </c>
      <c r="K16" s="36">
        <v>3452.2299999999982</v>
      </c>
      <c r="L16" s="36">
        <v>3452.2299999999982</v>
      </c>
    </row>
    <row r="17" spans="2:12" x14ac:dyDescent="0.25">
      <c r="J17" s="24" t="s">
        <v>742</v>
      </c>
      <c r="K17" s="36">
        <v>4292.9399999999987</v>
      </c>
      <c r="L17" s="36">
        <v>4292.9399999999987</v>
      </c>
    </row>
    <row r="18" spans="2:12" x14ac:dyDescent="0.25">
      <c r="B18" s="1" t="s">
        <v>771</v>
      </c>
      <c r="F18" s="1" t="s">
        <v>766</v>
      </c>
      <c r="J18" s="24" t="s">
        <v>744</v>
      </c>
      <c r="K18" s="36">
        <v>3292.1499999999987</v>
      </c>
      <c r="L18" s="36">
        <v>3292.1499999999987</v>
      </c>
    </row>
    <row r="19" spans="2:12" x14ac:dyDescent="0.25">
      <c r="B19" s="23" t="s">
        <v>11</v>
      </c>
      <c r="C19" t="s">
        <v>781</v>
      </c>
      <c r="F19" s="23" t="s">
        <v>11</v>
      </c>
      <c r="G19" t="s">
        <v>781</v>
      </c>
      <c r="J19" s="24" t="s">
        <v>745</v>
      </c>
      <c r="K19" s="36">
        <v>4378.9699999999984</v>
      </c>
      <c r="L19" s="36">
        <v>4378.9699999999984</v>
      </c>
    </row>
    <row r="20" spans="2:12" x14ac:dyDescent="0.25">
      <c r="J20" s="24" t="s">
        <v>743</v>
      </c>
      <c r="K20" s="36">
        <v>4917.8399999999965</v>
      </c>
      <c r="L20" s="36">
        <v>4917.8399999999965</v>
      </c>
    </row>
    <row r="21" spans="2:12" x14ac:dyDescent="0.25">
      <c r="B21" s="23" t="s">
        <v>737</v>
      </c>
      <c r="C21" t="s">
        <v>761</v>
      </c>
      <c r="F21" s="23" t="s">
        <v>778</v>
      </c>
      <c r="G21" t="s">
        <v>761</v>
      </c>
      <c r="J21" s="24" t="s">
        <v>746</v>
      </c>
      <c r="K21" s="36">
        <v>3781.199999999998</v>
      </c>
      <c r="L21" s="36">
        <v>3781.199999999998</v>
      </c>
    </row>
    <row r="22" spans="2:12" x14ac:dyDescent="0.25">
      <c r="B22" s="9" t="s">
        <v>85</v>
      </c>
      <c r="C22" s="36">
        <v>27597.239999999998</v>
      </c>
      <c r="F22" s="9" t="s">
        <v>26</v>
      </c>
      <c r="G22" s="36">
        <v>30925.020000000022</v>
      </c>
      <c r="J22" s="24" t="s">
        <v>747</v>
      </c>
      <c r="K22" s="36">
        <v>5401.9199999999983</v>
      </c>
      <c r="L22" s="36">
        <v>5401.9199999999983</v>
      </c>
    </row>
    <row r="23" spans="2:12" x14ac:dyDescent="0.25">
      <c r="B23" s="9" t="s">
        <v>31</v>
      </c>
      <c r="C23" s="36">
        <v>18317.709999999988</v>
      </c>
      <c r="F23" s="9" t="s">
        <v>73</v>
      </c>
      <c r="G23" s="36">
        <v>18855.239999999994</v>
      </c>
      <c r="J23" s="24" t="s">
        <v>748</v>
      </c>
      <c r="K23" s="36">
        <v>3024.2199999999975</v>
      </c>
      <c r="L23" s="36">
        <v>3024.2199999999975</v>
      </c>
    </row>
    <row r="24" spans="2:12" x14ac:dyDescent="0.25">
      <c r="B24" s="9" t="s">
        <v>52</v>
      </c>
      <c r="C24" s="36">
        <v>14757.539999999985</v>
      </c>
      <c r="F24" s="9" t="s">
        <v>32</v>
      </c>
      <c r="G24" s="36">
        <v>18317.709999999988</v>
      </c>
      <c r="J24" s="24" t="s">
        <v>749</v>
      </c>
      <c r="K24" s="36">
        <v>5311.8599999999969</v>
      </c>
      <c r="L24" s="36">
        <v>5311.8599999999969</v>
      </c>
    </row>
    <row r="25" spans="2:12" x14ac:dyDescent="0.25">
      <c r="B25" s="9" t="s">
        <v>72</v>
      </c>
      <c r="C25" s="36">
        <v>11447.70999999999</v>
      </c>
      <c r="F25" s="9" t="s">
        <v>53</v>
      </c>
      <c r="G25" s="36">
        <v>14757.539999999985</v>
      </c>
      <c r="J25" s="9" t="s">
        <v>760</v>
      </c>
      <c r="K25" s="36">
        <v>19161.089999999993</v>
      </c>
      <c r="L25" s="36">
        <v>19161.089999999993</v>
      </c>
    </row>
    <row r="26" spans="2:12" x14ac:dyDescent="0.25">
      <c r="B26" s="9" t="s">
        <v>39</v>
      </c>
      <c r="C26" s="36">
        <v>8997.7499999999909</v>
      </c>
      <c r="F26" s="9" t="s">
        <v>17</v>
      </c>
      <c r="G26" s="36">
        <v>12563.519999999975</v>
      </c>
      <c r="J26" s="24" t="s">
        <v>750</v>
      </c>
      <c r="K26" s="36">
        <v>3142.1699999999987</v>
      </c>
      <c r="L26" s="36">
        <v>3142.1699999999987</v>
      </c>
    </row>
    <row r="27" spans="2:12" x14ac:dyDescent="0.25">
      <c r="B27" s="9" t="s">
        <v>127</v>
      </c>
      <c r="C27" s="36">
        <v>7407.5299999999916</v>
      </c>
      <c r="F27" s="9" t="s">
        <v>60</v>
      </c>
      <c r="G27" s="36">
        <v>1152.6900000000014</v>
      </c>
      <c r="J27" s="24" t="s">
        <v>751</v>
      </c>
      <c r="K27" s="36">
        <v>5664.9799999999968</v>
      </c>
      <c r="L27" s="36">
        <v>5664.9799999999968</v>
      </c>
    </row>
    <row r="28" spans="2:12" x14ac:dyDescent="0.25">
      <c r="B28" s="9" t="s">
        <v>44</v>
      </c>
      <c r="C28" s="36">
        <v>3565.7699999999959</v>
      </c>
      <c r="F28" s="9" t="s">
        <v>735</v>
      </c>
      <c r="G28" s="36">
        <v>96571.719999999972</v>
      </c>
      <c r="J28" s="24" t="s">
        <v>752</v>
      </c>
      <c r="K28" s="36">
        <v>4381.069999999997</v>
      </c>
      <c r="L28" s="36">
        <v>4381.069999999997</v>
      </c>
    </row>
    <row r="29" spans="2:12" x14ac:dyDescent="0.25">
      <c r="B29" s="9" t="s">
        <v>92</v>
      </c>
      <c r="C29" s="36">
        <v>3327.7799999999975</v>
      </c>
      <c r="J29" s="24" t="s">
        <v>753</v>
      </c>
      <c r="K29" s="36">
        <v>4226.2499999999982</v>
      </c>
      <c r="L29" s="36">
        <v>4226.2499999999982</v>
      </c>
    </row>
    <row r="30" spans="2:12" x14ac:dyDescent="0.25">
      <c r="B30" s="9" t="s">
        <v>82</v>
      </c>
      <c r="C30" s="36">
        <v>1152.6900000000014</v>
      </c>
      <c r="J30" s="24" t="s">
        <v>754</v>
      </c>
      <c r="K30" s="36">
        <v>1746.6200000000001</v>
      </c>
      <c r="L30" s="36">
        <v>1746.6200000000001</v>
      </c>
    </row>
    <row r="31" spans="2:12" x14ac:dyDescent="0.25">
      <c r="B31" s="9" t="s">
        <v>735</v>
      </c>
      <c r="C31" s="36">
        <v>96571.719999999943</v>
      </c>
      <c r="J31" s="9" t="s">
        <v>735</v>
      </c>
      <c r="K31" s="36">
        <v>68815.689999999959</v>
      </c>
      <c r="L31" s="36">
        <v>68815.689999999959</v>
      </c>
    </row>
    <row r="33" spans="2:11" x14ac:dyDescent="0.25">
      <c r="B33" s="25" t="s">
        <v>772</v>
      </c>
      <c r="F33" s="1" t="s">
        <v>767</v>
      </c>
      <c r="J33" s="1" t="s">
        <v>769</v>
      </c>
    </row>
    <row r="34" spans="2:11" x14ac:dyDescent="0.25">
      <c r="B34" s="23" t="s">
        <v>758</v>
      </c>
      <c r="C34" t="s">
        <v>757</v>
      </c>
      <c r="D34" t="s">
        <v>775</v>
      </c>
      <c r="F34" s="23" t="s">
        <v>11</v>
      </c>
      <c r="G34" t="s">
        <v>781</v>
      </c>
      <c r="J34" s="23" t="s">
        <v>11</v>
      </c>
      <c r="K34" t="s">
        <v>781</v>
      </c>
    </row>
    <row r="35" spans="2:11" x14ac:dyDescent="0.25">
      <c r="B35" s="9" t="s">
        <v>29</v>
      </c>
      <c r="C35" s="36">
        <v>17890.169999999973</v>
      </c>
      <c r="D35" s="27">
        <v>0.18525268059841957</v>
      </c>
    </row>
    <row r="36" spans="2:11" x14ac:dyDescent="0.25">
      <c r="B36" s="9" t="s">
        <v>35</v>
      </c>
      <c r="C36" s="36">
        <v>62437.489999999867</v>
      </c>
      <c r="D36" s="27">
        <v>0.64654010511565896</v>
      </c>
      <c r="F36" s="23" t="s">
        <v>768</v>
      </c>
      <c r="G36" t="s">
        <v>761</v>
      </c>
      <c r="H36" t="s">
        <v>777</v>
      </c>
      <c r="J36" s="23" t="s">
        <v>770</v>
      </c>
      <c r="K36" t="s">
        <v>761</v>
      </c>
    </row>
    <row r="37" spans="2:11" x14ac:dyDescent="0.25">
      <c r="B37" s="9" t="s">
        <v>40</v>
      </c>
      <c r="C37" s="36">
        <v>16244.05999999997</v>
      </c>
      <c r="D37" s="27">
        <v>0.16820721428592142</v>
      </c>
      <c r="F37" s="9" t="s">
        <v>33</v>
      </c>
      <c r="G37" s="36">
        <v>49934.359999999964</v>
      </c>
      <c r="H37" s="27">
        <v>0.51707021475852366</v>
      </c>
      <c r="J37" s="9" t="s">
        <v>28</v>
      </c>
      <c r="K37" s="36">
        <v>38428.249999999993</v>
      </c>
    </row>
    <row r="38" spans="2:11" x14ac:dyDescent="0.25">
      <c r="B38" s="9" t="s">
        <v>735</v>
      </c>
      <c r="C38" s="36">
        <v>96571.719999999812</v>
      </c>
      <c r="D38" s="27">
        <v>1</v>
      </c>
      <c r="F38" s="9" t="s">
        <v>54</v>
      </c>
      <c r="G38" s="36">
        <v>16485.099999999973</v>
      </c>
      <c r="H38" s="27">
        <v>0.17070318308506868</v>
      </c>
      <c r="J38" s="9" t="s">
        <v>45</v>
      </c>
      <c r="K38" s="36">
        <v>21145.85000000002</v>
      </c>
    </row>
    <row r="39" spans="2:11" x14ac:dyDescent="0.25">
      <c r="F39" s="9" t="s">
        <v>19</v>
      </c>
      <c r="G39" s="36">
        <v>16062.459999999981</v>
      </c>
      <c r="H39" s="27">
        <v>0.16632674658792448</v>
      </c>
      <c r="J39" s="9" t="s">
        <v>55</v>
      </c>
      <c r="K39" s="36">
        <v>13521.24999999998</v>
      </c>
    </row>
    <row r="40" spans="2:11" x14ac:dyDescent="0.25">
      <c r="F40" s="9" t="s">
        <v>27</v>
      </c>
      <c r="G40" s="36">
        <v>14089.799999999977</v>
      </c>
      <c r="H40" s="27">
        <v>0.14589985556848312</v>
      </c>
      <c r="J40" s="9" t="s">
        <v>34</v>
      </c>
      <c r="K40" s="36">
        <v>12622.069999999983</v>
      </c>
    </row>
    <row r="41" spans="2:11" x14ac:dyDescent="0.25">
      <c r="F41" s="9" t="s">
        <v>735</v>
      </c>
      <c r="G41" s="36">
        <v>96571.719999999899</v>
      </c>
      <c r="H41" s="27">
        <v>1</v>
      </c>
      <c r="J41" s="9" t="s">
        <v>129</v>
      </c>
      <c r="K41" s="36">
        <v>10854.299999999985</v>
      </c>
    </row>
    <row r="42" spans="2:11" x14ac:dyDescent="0.25">
      <c r="B42" s="1" t="s">
        <v>773</v>
      </c>
      <c r="C42" t="s">
        <v>774</v>
      </c>
      <c r="J42" s="9" t="s">
        <v>735</v>
      </c>
      <c r="K42" s="36">
        <v>96571.719999999958</v>
      </c>
    </row>
    <row r="43" spans="2:11" x14ac:dyDescent="0.25">
      <c r="B43" s="23" t="s">
        <v>11</v>
      </c>
      <c r="C43" t="s">
        <v>781</v>
      </c>
    </row>
    <row r="45" spans="2:11" x14ac:dyDescent="0.25">
      <c r="B45" t="s">
        <v>764</v>
      </c>
      <c r="C45" t="s">
        <v>757</v>
      </c>
      <c r="D45" t="s">
        <v>765</v>
      </c>
    </row>
    <row r="46" spans="2:11" x14ac:dyDescent="0.25">
      <c r="B46" s="36">
        <v>1050</v>
      </c>
      <c r="C46" s="36">
        <v>96571.72000000035</v>
      </c>
      <c r="D46" s="36">
        <v>120.41361596010019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D1733-211E-40C1-8099-35F93DD2140A}">
  <dimension ref="A1"/>
  <sheetViews>
    <sheetView topLeftCell="A6" zoomScale="89" zoomScaleNormal="89" workbookViewId="0">
      <selection activeCell="X17" sqref="X17"/>
    </sheetView>
  </sheetViews>
  <sheetFormatPr defaultRowHeight="15" x14ac:dyDescent="0.2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263E9-8AD7-4B28-B54F-712921DF6756}">
  <dimension ref="A1:J11"/>
  <sheetViews>
    <sheetView showGridLines="0" tabSelected="1" zoomScale="80" zoomScaleNormal="80" workbookViewId="0">
      <selection activeCell="T37" sqref="T37"/>
    </sheetView>
  </sheetViews>
  <sheetFormatPr defaultRowHeight="15" x14ac:dyDescent="0.25"/>
  <cols>
    <col min="1" max="1" width="14.28515625" bestFit="1" customWidth="1"/>
    <col min="3" max="3" width="4" customWidth="1"/>
    <col min="4" max="4" width="22.28515625" customWidth="1"/>
    <col min="5" max="5" width="13" customWidth="1"/>
    <col min="6" max="6" width="26.85546875" customWidth="1"/>
    <col min="7" max="7" width="9.42578125" customWidth="1"/>
    <col min="8" max="8" width="42.7109375" customWidth="1"/>
    <col min="9" max="9" width="15" customWidth="1"/>
    <col min="10" max="10" width="39.140625" customWidth="1"/>
    <col min="11" max="11" width="9.140625" customWidth="1"/>
    <col min="18" max="18" width="5.42578125" customWidth="1"/>
  </cols>
  <sheetData>
    <row r="1" spans="1:10" ht="21" x14ac:dyDescent="0.35">
      <c r="C1" s="28"/>
    </row>
    <row r="2" spans="1:10" x14ac:dyDescent="0.25">
      <c r="A2" s="33"/>
    </row>
    <row r="3" spans="1:10" x14ac:dyDescent="0.25">
      <c r="D3" s="29"/>
      <c r="E3" s="29"/>
      <c r="F3" s="29"/>
      <c r="G3" s="29"/>
      <c r="H3" s="29"/>
      <c r="I3" s="29"/>
      <c r="J3" s="29"/>
    </row>
    <row r="4" spans="1:10" x14ac:dyDescent="0.25">
      <c r="D4" s="30"/>
      <c r="E4" s="8"/>
      <c r="F4" s="8"/>
      <c r="G4" s="8"/>
      <c r="H4" s="30"/>
      <c r="I4" s="8"/>
      <c r="J4" s="31"/>
    </row>
    <row r="11" spans="1:10" ht="19.5" x14ac:dyDescent="0.25">
      <c r="C11" s="34">
        <f>GETPIVOTDATA("Total Revenue",'Pivot Tables'!$B$45)</f>
        <v>96571.72000000035</v>
      </c>
      <c r="E11" s="32">
        <f>GETPIVOTDATA("Number of Customers",'Pivot Tables'!$B$45)</f>
        <v>1050</v>
      </c>
      <c r="G11" s="33">
        <f>GETPIVOTDATA("Average Revenue per Customer",'Pivot Tables'!$B$45)</f>
        <v>120.41361596010019</v>
      </c>
      <c r="I11" s="35">
        <f>IF(ISERROR(GETPIVOTDATA("Percentage of Revenue per Order Status",'Pivot Tables'!$B$34,"Order status","Cancelled")),"0%",GETPIVOTDATA("Percentage of Revenue per Order Status",'Pivot Tables'!$B$34,"Order status","Cancelled"))</f>
        <v>0.18525268059841957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Goal &amp; Interpretations</vt:lpstr>
      <vt:lpstr>Before-Messy Dataset</vt:lpstr>
      <vt:lpstr>Cleaning Process Explained</vt:lpstr>
      <vt:lpstr>After-Clean Dataset</vt:lpstr>
      <vt:lpstr>Pivot Tables</vt:lpstr>
      <vt:lpstr>Charts Made from 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Anika Gopi</cp:lastModifiedBy>
  <dcterms:created xsi:type="dcterms:W3CDTF">2025-12-26T09:00:48Z</dcterms:created>
  <dcterms:modified xsi:type="dcterms:W3CDTF">2026-01-03T08:04:44Z</dcterms:modified>
</cp:coreProperties>
</file>